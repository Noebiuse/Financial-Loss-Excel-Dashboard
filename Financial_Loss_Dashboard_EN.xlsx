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user\Desktop\Project Excel\"/>
    </mc:Choice>
  </mc:AlternateContent>
  <xr:revisionPtr revIDLastSave="0" documentId="8_{6F516D2E-EA21-428F-B803-DA91A349BD80}" xr6:coauthVersionLast="47" xr6:coauthVersionMax="47" xr10:uidLastSave="{00000000-0000-0000-0000-000000000000}"/>
  <workbookProtection workbookAlgorithmName="SHA-512" workbookHashValue="76+7MruJrJGI8klPpkhBBWmVzw9KfL2JY+EJE86BPt67bUfD8jf95WF4ipKCHX7Ajb4QBruWV9AjBQFSRUEhQw==" workbookSaltValue="7Gs94xa7z/y6rtO+KBWsmg==" workbookSpinCount="100000" lockStructure="1"/>
  <bookViews>
    <workbookView xWindow="-120" yWindow="-120" windowWidth="38640" windowHeight="21120" xr2:uid="{2CC47DCF-75C4-4DB6-BCE0-5F83F2D68C76}"/>
  </bookViews>
  <sheets>
    <sheet name="Dashboard" sheetId="3" r:id="rId1"/>
    <sheet name="Analysis" sheetId="2" state="hidden" r:id="rId2"/>
    <sheet name="RawData" sheetId="1" state="hidden" r:id="rId3"/>
  </sheets>
  <definedNames>
    <definedName name="_xlcn.WorksheetConnection_chart.xlsxTable1" hidden="1">Table1[]</definedName>
    <definedName name="_xlcn.WorksheetConnection_chart.xlsxTable3" hidden="1">Table3</definedName>
    <definedName name="_xlnm.Print_Area" localSheetId="0">Dashboard!$A$1:$Q$42</definedName>
    <definedName name="Slicer_Material_Cod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chart.xlsx!Table1"/>
          <x15:modelTable id="Table3" name="Table3" connection="WorksheetConnection_chart.xlsx!Table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6" i="3" l="1"/>
  <c r="A503" i="1"/>
  <c r="A504" i="1"/>
  <c r="A505" i="1"/>
  <c r="B503" i="1"/>
  <c r="B504" i="1"/>
  <c r="B505" i="1"/>
  <c r="C503" i="1"/>
  <c r="C504" i="1"/>
  <c r="C505" i="1"/>
  <c r="D503" i="1"/>
  <c r="D504" i="1"/>
  <c r="D505" i="1"/>
  <c r="E505" i="1" l="1"/>
  <c r="E503" i="1"/>
  <c r="E504" i="1"/>
  <c r="B501" i="1"/>
  <c r="D501" i="1"/>
  <c r="B502" i="1"/>
  <c r="D502" i="1"/>
  <c r="E502" i="1" s="1"/>
  <c r="B500" i="1"/>
  <c r="D500" i="1"/>
  <c r="D167" i="1"/>
  <c r="D301" i="1"/>
  <c r="D23" i="1"/>
  <c r="D369" i="1"/>
  <c r="D295" i="1"/>
  <c r="D46" i="1"/>
  <c r="D356" i="1"/>
  <c r="D172" i="1"/>
  <c r="D450" i="1"/>
  <c r="D489" i="1"/>
  <c r="D399" i="1"/>
  <c r="D184" i="1"/>
  <c r="D269" i="1"/>
  <c r="D33" i="1"/>
  <c r="D205" i="1"/>
  <c r="D24" i="1"/>
  <c r="D270" i="1"/>
  <c r="D396" i="1"/>
  <c r="D208" i="1"/>
  <c r="D318" i="1"/>
  <c r="D443" i="1"/>
  <c r="D323" i="1"/>
  <c r="D144" i="1"/>
  <c r="D42" i="1"/>
  <c r="D97" i="1"/>
  <c r="D277" i="1"/>
  <c r="D498" i="1"/>
  <c r="D410" i="1"/>
  <c r="D320" i="1"/>
  <c r="D100" i="1"/>
  <c r="D419" i="1"/>
  <c r="D290" i="1"/>
  <c r="D230" i="1"/>
  <c r="D18" i="1"/>
  <c r="D227" i="1"/>
  <c r="D32" i="1"/>
  <c r="D218" i="1"/>
  <c r="D359" i="1"/>
  <c r="D136" i="1"/>
  <c r="D344" i="1"/>
  <c r="D424" i="1"/>
  <c r="D92" i="1"/>
  <c r="D346" i="1"/>
  <c r="D14" i="1"/>
  <c r="D357" i="1"/>
  <c r="D441" i="1"/>
  <c r="D190" i="1"/>
  <c r="D125" i="1"/>
  <c r="D31" i="1"/>
  <c r="D211" i="1"/>
  <c r="D62" i="1"/>
  <c r="D209" i="1"/>
  <c r="D348" i="1"/>
  <c r="D459" i="1"/>
  <c r="D460" i="1"/>
  <c r="D146" i="1"/>
  <c r="D375" i="1"/>
  <c r="D381" i="1"/>
  <c r="D445" i="1"/>
  <c r="D313" i="1"/>
  <c r="D267" i="1"/>
  <c r="D257" i="1"/>
  <c r="D486" i="1"/>
  <c r="D234" i="1"/>
  <c r="D455" i="1"/>
  <c r="D330" i="1"/>
  <c r="D461" i="1"/>
  <c r="D153" i="1"/>
  <c r="D392" i="1"/>
  <c r="D308" i="1"/>
  <c r="D367" i="1"/>
  <c r="D467" i="1"/>
  <c r="D238" i="1"/>
  <c r="D331" i="1"/>
  <c r="D194" i="1"/>
  <c r="D385" i="1"/>
  <c r="D382" i="1"/>
  <c r="D329" i="1"/>
  <c r="D263" i="1"/>
  <c r="D360" i="1"/>
  <c r="D235" i="1"/>
  <c r="D195" i="1"/>
  <c r="D430" i="1"/>
  <c r="D326" i="1"/>
  <c r="D287" i="1"/>
  <c r="D402" i="1"/>
  <c r="D487" i="1"/>
  <c r="D11" i="1"/>
  <c r="D354" i="1"/>
  <c r="D36" i="1"/>
  <c r="D10" i="1"/>
  <c r="D376" i="1"/>
  <c r="D338" i="1"/>
  <c r="D286" i="1"/>
  <c r="D476" i="1"/>
  <c r="D158" i="1"/>
  <c r="D362" i="1"/>
  <c r="D212" i="1"/>
  <c r="D458" i="1"/>
  <c r="D272" i="1"/>
  <c r="D478" i="1"/>
  <c r="D311" i="1"/>
  <c r="D264" i="1"/>
  <c r="D347" i="1"/>
  <c r="D22" i="1"/>
  <c r="D380" i="1"/>
  <c r="D370" i="1"/>
  <c r="D60" i="1"/>
  <c r="D403" i="1"/>
  <c r="D171" i="1"/>
  <c r="D91" i="1"/>
  <c r="D130" i="1"/>
  <c r="D339" i="1"/>
  <c r="D248" i="1"/>
  <c r="D451" i="1"/>
  <c r="D479" i="1"/>
  <c r="D20" i="1"/>
  <c r="D319" i="1"/>
  <c r="D203" i="1"/>
  <c r="D493" i="1"/>
  <c r="D336" i="1"/>
  <c r="D397" i="1"/>
  <c r="D400" i="1"/>
  <c r="D122" i="1"/>
  <c r="D107" i="1"/>
  <c r="D186" i="1"/>
  <c r="D81" i="1"/>
  <c r="D21" i="1"/>
  <c r="D395" i="1"/>
  <c r="D438" i="1"/>
  <c r="D495" i="1"/>
  <c r="D389" i="1"/>
  <c r="D98" i="1"/>
  <c r="D139" i="1"/>
  <c r="D413" i="1"/>
  <c r="D442" i="1"/>
  <c r="D481" i="1"/>
  <c r="D237" i="1"/>
  <c r="D274" i="1"/>
  <c r="D328" i="1"/>
  <c r="D490" i="1"/>
  <c r="D358" i="1"/>
  <c r="D56" i="1"/>
  <c r="D384" i="1"/>
  <c r="D394" i="1"/>
  <c r="D300" i="1"/>
  <c r="D2" i="1"/>
  <c r="D246" i="1"/>
  <c r="D407" i="1"/>
  <c r="D168" i="1"/>
  <c r="D215" i="1"/>
  <c r="D454" i="1"/>
  <c r="D310" i="1"/>
  <c r="D4" i="1"/>
  <c r="D37" i="1"/>
  <c r="D121" i="1"/>
  <c r="D90" i="1"/>
  <c r="D405" i="1"/>
  <c r="D13" i="1"/>
  <c r="D352" i="1"/>
  <c r="D116" i="1"/>
  <c r="D49" i="1"/>
  <c r="D132" i="1"/>
  <c r="D9" i="1"/>
  <c r="D469" i="1"/>
  <c r="D415" i="1"/>
  <c r="D371" i="1"/>
  <c r="D151" i="1"/>
  <c r="D475" i="1"/>
  <c r="D148" i="1"/>
  <c r="D448" i="1"/>
  <c r="D447" i="1"/>
  <c r="D457" i="1"/>
  <c r="D423" i="1"/>
  <c r="D8" i="1"/>
  <c r="D180" i="1"/>
  <c r="D216" i="1"/>
  <c r="D482" i="1"/>
  <c r="D35" i="1"/>
  <c r="D65" i="1"/>
  <c r="D299" i="1"/>
  <c r="D3" i="1"/>
  <c r="D140" i="1"/>
  <c r="D283" i="1"/>
  <c r="D391" i="1"/>
  <c r="D64" i="1"/>
  <c r="D119" i="1"/>
  <c r="D143" i="1"/>
  <c r="D102" i="1"/>
  <c r="D345" i="1"/>
  <c r="D173" i="1"/>
  <c r="D254" i="1"/>
  <c r="D266" i="1"/>
  <c r="D197" i="1"/>
  <c r="D363" i="1"/>
  <c r="D496" i="1"/>
  <c r="D309" i="1"/>
  <c r="D350" i="1"/>
  <c r="D422" i="1"/>
  <c r="D69" i="1"/>
  <c r="D342" i="1"/>
  <c r="D386" i="1"/>
  <c r="D436" i="1"/>
  <c r="D40" i="1"/>
  <c r="D164" i="1"/>
  <c r="D117" i="1"/>
  <c r="D453" i="1"/>
  <c r="D89" i="1"/>
  <c r="D222" i="1"/>
  <c r="D373" i="1"/>
  <c r="D15" i="1"/>
  <c r="D126" i="1"/>
  <c r="D224" i="1"/>
  <c r="D256" i="1"/>
  <c r="D312" i="1"/>
  <c r="D465" i="1"/>
  <c r="D6" i="1"/>
  <c r="D123" i="1"/>
  <c r="D50" i="1"/>
  <c r="D41" i="1"/>
  <c r="D273" i="1"/>
  <c r="D96" i="1"/>
  <c r="D61" i="1"/>
  <c r="D434" i="1"/>
  <c r="D425" i="1"/>
  <c r="D103" i="1"/>
  <c r="D175" i="1"/>
  <c r="D404" i="1"/>
  <c r="D79" i="1"/>
  <c r="D282" i="1"/>
  <c r="D53" i="1"/>
  <c r="D366" i="1"/>
  <c r="D372" i="1"/>
  <c r="D251" i="1"/>
  <c r="D473" i="1"/>
  <c r="D351" i="1"/>
  <c r="D226" i="1"/>
  <c r="D26" i="1"/>
  <c r="D302" i="1"/>
  <c r="D464" i="1"/>
  <c r="D38" i="1"/>
  <c r="D428" i="1"/>
  <c r="D135" i="1"/>
  <c r="D474" i="1"/>
  <c r="D193" i="1"/>
  <c r="D364" i="1"/>
  <c r="D44" i="1"/>
  <c r="D416" i="1"/>
  <c r="D51" i="1"/>
  <c r="D220" i="1"/>
  <c r="D288" i="1"/>
  <c r="D292" i="1"/>
  <c r="D426" i="1"/>
  <c r="D420" i="1"/>
  <c r="D231" i="1"/>
  <c r="D217" i="1"/>
  <c r="D365" i="1"/>
  <c r="D468" i="1"/>
  <c r="D201" i="1"/>
  <c r="D337" i="1"/>
  <c r="D94" i="1"/>
  <c r="D388" i="1"/>
  <c r="D145" i="1"/>
  <c r="D306" i="1"/>
  <c r="D444" i="1"/>
  <c r="D439" i="1"/>
  <c r="D99" i="1"/>
  <c r="D449" i="1"/>
  <c r="D463" i="1"/>
  <c r="D377" i="1"/>
  <c r="D179" i="1"/>
  <c r="D236" i="1"/>
  <c r="D187" i="1"/>
  <c r="D483" i="1"/>
  <c r="D93" i="1"/>
  <c r="D435" i="1"/>
  <c r="D324" i="1"/>
  <c r="D178" i="1"/>
  <c r="D387" i="1"/>
  <c r="D241" i="1"/>
  <c r="D417" i="1"/>
  <c r="D177" i="1"/>
  <c r="D170" i="1"/>
  <c r="D494" i="1"/>
  <c r="D134" i="1"/>
  <c r="D261" i="1"/>
  <c r="D5" i="1"/>
  <c r="D118" i="1"/>
  <c r="D76" i="1"/>
  <c r="D43" i="1"/>
  <c r="D271" i="1"/>
  <c r="D374" i="1"/>
  <c r="D88" i="1"/>
  <c r="D120" i="1"/>
  <c r="D147" i="1"/>
  <c r="D471" i="1"/>
  <c r="D253" i="1"/>
  <c r="D491" i="1"/>
  <c r="D297" i="1"/>
  <c r="D240" i="1"/>
  <c r="D228" i="1"/>
  <c r="D207" i="1"/>
  <c r="D497" i="1"/>
  <c r="D160" i="1"/>
  <c r="D265" i="1"/>
  <c r="D163" i="1"/>
  <c r="D275" i="1"/>
  <c r="D446" i="1"/>
  <c r="D159" i="1"/>
  <c r="D127" i="1"/>
  <c r="D258" i="1"/>
  <c r="D25" i="1"/>
  <c r="D242" i="1"/>
  <c r="D111" i="1"/>
  <c r="D433" i="1"/>
  <c r="D58" i="1"/>
  <c r="D157" i="1"/>
  <c r="D45" i="1"/>
  <c r="D105" i="1"/>
  <c r="D202" i="1"/>
  <c r="D327" i="1"/>
  <c r="D243" i="1"/>
  <c r="D355" i="1"/>
  <c r="D16" i="1"/>
  <c r="D70" i="1"/>
  <c r="D156" i="1"/>
  <c r="D83" i="1"/>
  <c r="D298" i="1"/>
  <c r="D281" i="1"/>
  <c r="D29" i="1"/>
  <c r="D462" i="1"/>
  <c r="D174" i="1"/>
  <c r="D75" i="1"/>
  <c r="D128" i="1"/>
  <c r="D196" i="1"/>
  <c r="D210" i="1"/>
  <c r="D7" i="1"/>
  <c r="D185" i="1"/>
  <c r="D27" i="1"/>
  <c r="D303" i="1"/>
  <c r="D109" i="1"/>
  <c r="D409" i="1"/>
  <c r="D192" i="1"/>
  <c r="D104" i="1"/>
  <c r="D432" i="1"/>
  <c r="D393" i="1"/>
  <c r="D213" i="1"/>
  <c r="D418" i="1"/>
  <c r="D113" i="1"/>
  <c r="D398" i="1"/>
  <c r="D39" i="1"/>
  <c r="D401" i="1"/>
  <c r="D142" i="1"/>
  <c r="D150" i="1"/>
  <c r="D52" i="1"/>
  <c r="D452" i="1"/>
  <c r="D84" i="1"/>
  <c r="D250" i="1"/>
  <c r="D406" i="1"/>
  <c r="D268" i="1"/>
  <c r="D333" i="1"/>
  <c r="D280" i="1"/>
  <c r="D162" i="1"/>
  <c r="D332" i="1"/>
  <c r="D199" i="1"/>
  <c r="D206" i="1"/>
  <c r="D225" i="1"/>
  <c r="D314" i="1"/>
  <c r="D63" i="1"/>
  <c r="D289" i="1"/>
  <c r="D19" i="1"/>
  <c r="D189" i="1"/>
  <c r="D285" i="1"/>
  <c r="D414" i="1"/>
  <c r="D48" i="1"/>
  <c r="D316" i="1"/>
  <c r="D68" i="1"/>
  <c r="D232" i="1"/>
  <c r="D161" i="1"/>
  <c r="D276" i="1"/>
  <c r="D112" i="1"/>
  <c r="D291" i="1"/>
  <c r="D244" i="1"/>
  <c r="D86" i="1"/>
  <c r="D28" i="1"/>
  <c r="D169" i="1"/>
  <c r="D71" i="1"/>
  <c r="D278" i="1"/>
  <c r="D66" i="1"/>
  <c r="D294" i="1"/>
  <c r="D154" i="1"/>
  <c r="D165" i="1"/>
  <c r="D260" i="1"/>
  <c r="D255" i="1"/>
  <c r="D47" i="1"/>
  <c r="D361" i="1"/>
  <c r="D17" i="1"/>
  <c r="D200" i="1"/>
  <c r="D204" i="1"/>
  <c r="D315" i="1"/>
  <c r="D390" i="1"/>
  <c r="D488" i="1"/>
  <c r="D378" i="1"/>
  <c r="D368" i="1"/>
  <c r="D322" i="1"/>
  <c r="D219" i="1"/>
  <c r="D223" i="1"/>
  <c r="D34" i="1"/>
  <c r="D249" i="1"/>
  <c r="D72" i="1"/>
  <c r="D293" i="1"/>
  <c r="D59" i="1"/>
  <c r="D73" i="1"/>
  <c r="D307" i="1"/>
  <c r="D470" i="1"/>
  <c r="D101" i="1"/>
  <c r="D188" i="1"/>
  <c r="D80" i="1"/>
  <c r="D78" i="1"/>
  <c r="D334" i="1"/>
  <c r="D349" i="1"/>
  <c r="D335" i="1"/>
  <c r="D54" i="1"/>
  <c r="D181" i="1"/>
  <c r="D304" i="1"/>
  <c r="D239" i="1"/>
  <c r="D124" i="1"/>
  <c r="D325" i="1"/>
  <c r="D138" i="1"/>
  <c r="D279" i="1"/>
  <c r="D466" i="1"/>
  <c r="D305" i="1"/>
  <c r="D427" i="1"/>
  <c r="D152" i="1"/>
  <c r="D141" i="1"/>
  <c r="D341" i="1"/>
  <c r="D429" i="1"/>
  <c r="D499" i="1"/>
  <c r="D67" i="1"/>
  <c r="D30" i="1"/>
  <c r="D198" i="1"/>
  <c r="D55" i="1"/>
  <c r="D137" i="1"/>
  <c r="D259" i="1"/>
  <c r="D431" i="1"/>
  <c r="D221" i="1"/>
  <c r="D440" i="1"/>
  <c r="D245" i="1"/>
  <c r="D383" i="1"/>
  <c r="D456" i="1"/>
  <c r="D379" i="1"/>
  <c r="D133" i="1"/>
  <c r="D108" i="1"/>
  <c r="D77" i="1"/>
  <c r="D129" i="1"/>
  <c r="D317" i="1"/>
  <c r="D262" i="1"/>
  <c r="D74" i="1"/>
  <c r="D57" i="1"/>
  <c r="D114" i="1"/>
  <c r="D191" i="1"/>
  <c r="D412" i="1"/>
  <c r="D247" i="1"/>
  <c r="D480" i="1"/>
  <c r="D233" i="1"/>
  <c r="D131" i="1"/>
  <c r="D340" i="1"/>
  <c r="D106" i="1"/>
  <c r="D155" i="1"/>
  <c r="D321" i="1"/>
  <c r="D472" i="1"/>
  <c r="D176" i="1"/>
  <c r="D183" i="1"/>
  <c r="D110" i="1"/>
  <c r="D166" i="1"/>
  <c r="D492" i="1"/>
  <c r="D437" i="1"/>
  <c r="D408" i="1"/>
  <c r="D87" i="1"/>
  <c r="D252" i="1"/>
  <c r="D182" i="1"/>
  <c r="D284" i="1"/>
  <c r="D214" i="1"/>
  <c r="D229" i="1"/>
  <c r="D149" i="1"/>
  <c r="D421" i="1"/>
  <c r="D343" i="1"/>
  <c r="D411" i="1"/>
  <c r="D296" i="1"/>
  <c r="D85" i="1"/>
  <c r="D82" i="1"/>
  <c r="D115" i="1"/>
  <c r="D485" i="1"/>
  <c r="D95" i="1"/>
  <c r="D12" i="1"/>
  <c r="D477" i="1"/>
  <c r="D353" i="1"/>
  <c r="D484" i="1"/>
  <c r="C167" i="1"/>
  <c r="C301" i="1"/>
  <c r="C23" i="1"/>
  <c r="C369" i="1"/>
  <c r="C295" i="1"/>
  <c r="C46" i="1"/>
  <c r="C356" i="1"/>
  <c r="C172" i="1"/>
  <c r="C450" i="1"/>
  <c r="C489" i="1"/>
  <c r="C399" i="1"/>
  <c r="C184" i="1"/>
  <c r="C269" i="1"/>
  <c r="C33" i="1"/>
  <c r="C205" i="1"/>
  <c r="C24" i="1"/>
  <c r="C270" i="1"/>
  <c r="C396" i="1"/>
  <c r="C208" i="1"/>
  <c r="C318" i="1"/>
  <c r="C443" i="1"/>
  <c r="C323" i="1"/>
  <c r="C144" i="1"/>
  <c r="C42" i="1"/>
  <c r="C97" i="1"/>
  <c r="C277" i="1"/>
  <c r="C498" i="1"/>
  <c r="C410" i="1"/>
  <c r="C320" i="1"/>
  <c r="C100" i="1"/>
  <c r="C419" i="1"/>
  <c r="C290" i="1"/>
  <c r="C230" i="1"/>
  <c r="C18" i="1"/>
  <c r="C227" i="1"/>
  <c r="C32" i="1"/>
  <c r="C218" i="1"/>
  <c r="C359" i="1"/>
  <c r="C136" i="1"/>
  <c r="C344" i="1"/>
  <c r="C424" i="1"/>
  <c r="C92" i="1"/>
  <c r="C346" i="1"/>
  <c r="C14" i="1"/>
  <c r="C357" i="1"/>
  <c r="C441" i="1"/>
  <c r="C190" i="1"/>
  <c r="C125" i="1"/>
  <c r="C31" i="1"/>
  <c r="C211" i="1"/>
  <c r="C62" i="1"/>
  <c r="C209" i="1"/>
  <c r="C348" i="1"/>
  <c r="C459" i="1"/>
  <c r="C460" i="1"/>
  <c r="C146" i="1"/>
  <c r="C375" i="1"/>
  <c r="C381" i="1"/>
  <c r="C445" i="1"/>
  <c r="C313" i="1"/>
  <c r="C267" i="1"/>
  <c r="C257" i="1"/>
  <c r="C486" i="1"/>
  <c r="C234" i="1"/>
  <c r="C455" i="1"/>
  <c r="C330" i="1"/>
  <c r="C461" i="1"/>
  <c r="C153" i="1"/>
  <c r="C392" i="1"/>
  <c r="C308" i="1"/>
  <c r="C367" i="1"/>
  <c r="C467" i="1"/>
  <c r="C238" i="1"/>
  <c r="C331" i="1"/>
  <c r="C194" i="1"/>
  <c r="C385" i="1"/>
  <c r="C382" i="1"/>
  <c r="C329" i="1"/>
  <c r="C263" i="1"/>
  <c r="C360" i="1"/>
  <c r="C235" i="1"/>
  <c r="C195" i="1"/>
  <c r="C430" i="1"/>
  <c r="C326" i="1"/>
  <c r="C287" i="1"/>
  <c r="C402" i="1"/>
  <c r="C487" i="1"/>
  <c r="C11" i="1"/>
  <c r="C354" i="1"/>
  <c r="C36" i="1"/>
  <c r="C10" i="1"/>
  <c r="C376" i="1"/>
  <c r="C338" i="1"/>
  <c r="C286" i="1"/>
  <c r="C476" i="1"/>
  <c r="C158" i="1"/>
  <c r="C362" i="1"/>
  <c r="C212" i="1"/>
  <c r="C458" i="1"/>
  <c r="C272" i="1"/>
  <c r="C478" i="1"/>
  <c r="C311" i="1"/>
  <c r="C264" i="1"/>
  <c r="C347" i="1"/>
  <c r="C22" i="1"/>
  <c r="C380" i="1"/>
  <c r="C370" i="1"/>
  <c r="C60" i="1"/>
  <c r="C403" i="1"/>
  <c r="C171" i="1"/>
  <c r="C91" i="1"/>
  <c r="C130" i="1"/>
  <c r="C339" i="1"/>
  <c r="C248" i="1"/>
  <c r="C451" i="1"/>
  <c r="C479" i="1"/>
  <c r="C20" i="1"/>
  <c r="C319" i="1"/>
  <c r="C203" i="1"/>
  <c r="C493" i="1"/>
  <c r="C336" i="1"/>
  <c r="C397" i="1"/>
  <c r="C400" i="1"/>
  <c r="C122" i="1"/>
  <c r="C107" i="1"/>
  <c r="C186" i="1"/>
  <c r="C81" i="1"/>
  <c r="C21" i="1"/>
  <c r="C395" i="1"/>
  <c r="C438" i="1"/>
  <c r="C495" i="1"/>
  <c r="C389" i="1"/>
  <c r="C98" i="1"/>
  <c r="C139" i="1"/>
  <c r="C413" i="1"/>
  <c r="C442" i="1"/>
  <c r="C481" i="1"/>
  <c r="C237" i="1"/>
  <c r="C274" i="1"/>
  <c r="C328" i="1"/>
  <c r="C490" i="1"/>
  <c r="C358" i="1"/>
  <c r="C56" i="1"/>
  <c r="C384" i="1"/>
  <c r="C394" i="1"/>
  <c r="C300" i="1"/>
  <c r="C2" i="1"/>
  <c r="C246" i="1"/>
  <c r="C407" i="1"/>
  <c r="C168" i="1"/>
  <c r="C215" i="1"/>
  <c r="C454" i="1"/>
  <c r="C310" i="1"/>
  <c r="C4" i="1"/>
  <c r="C37" i="1"/>
  <c r="C121" i="1"/>
  <c r="C90" i="1"/>
  <c r="C405" i="1"/>
  <c r="C13" i="1"/>
  <c r="C352" i="1"/>
  <c r="C116" i="1"/>
  <c r="C49" i="1"/>
  <c r="C132" i="1"/>
  <c r="C9" i="1"/>
  <c r="C469" i="1"/>
  <c r="C415" i="1"/>
  <c r="C371" i="1"/>
  <c r="C151" i="1"/>
  <c r="C475" i="1"/>
  <c r="C148" i="1"/>
  <c r="C448" i="1"/>
  <c r="C447" i="1"/>
  <c r="C457" i="1"/>
  <c r="C423" i="1"/>
  <c r="C8" i="1"/>
  <c r="C180" i="1"/>
  <c r="C216" i="1"/>
  <c r="C482" i="1"/>
  <c r="C35" i="1"/>
  <c r="C65" i="1"/>
  <c r="C299" i="1"/>
  <c r="C3" i="1"/>
  <c r="C140" i="1"/>
  <c r="C283" i="1"/>
  <c r="C391" i="1"/>
  <c r="C64" i="1"/>
  <c r="C119" i="1"/>
  <c r="C143" i="1"/>
  <c r="C102" i="1"/>
  <c r="C345" i="1"/>
  <c r="C173" i="1"/>
  <c r="C254" i="1"/>
  <c r="C266" i="1"/>
  <c r="C197" i="1"/>
  <c r="C363" i="1"/>
  <c r="C496" i="1"/>
  <c r="C309" i="1"/>
  <c r="C350" i="1"/>
  <c r="C422" i="1"/>
  <c r="C69" i="1"/>
  <c r="C342" i="1"/>
  <c r="C386" i="1"/>
  <c r="C436" i="1"/>
  <c r="C40" i="1"/>
  <c r="C164" i="1"/>
  <c r="C117" i="1"/>
  <c r="C453" i="1"/>
  <c r="C89" i="1"/>
  <c r="C222" i="1"/>
  <c r="C373" i="1"/>
  <c r="C15" i="1"/>
  <c r="C126" i="1"/>
  <c r="C224" i="1"/>
  <c r="C256" i="1"/>
  <c r="C312" i="1"/>
  <c r="C465" i="1"/>
  <c r="C6" i="1"/>
  <c r="C123" i="1"/>
  <c r="C50" i="1"/>
  <c r="C41" i="1"/>
  <c r="C273" i="1"/>
  <c r="C96" i="1"/>
  <c r="C61" i="1"/>
  <c r="C434" i="1"/>
  <c r="C425" i="1"/>
  <c r="C103" i="1"/>
  <c r="C175" i="1"/>
  <c r="C404" i="1"/>
  <c r="C79" i="1"/>
  <c r="C282" i="1"/>
  <c r="C53" i="1"/>
  <c r="C366" i="1"/>
  <c r="C372" i="1"/>
  <c r="C251" i="1"/>
  <c r="C473" i="1"/>
  <c r="C351" i="1"/>
  <c r="C226" i="1"/>
  <c r="C26" i="1"/>
  <c r="C302" i="1"/>
  <c r="C464" i="1"/>
  <c r="C38" i="1"/>
  <c r="C428" i="1"/>
  <c r="C135" i="1"/>
  <c r="C474" i="1"/>
  <c r="C193" i="1"/>
  <c r="C364" i="1"/>
  <c r="C44" i="1"/>
  <c r="C416" i="1"/>
  <c r="C51" i="1"/>
  <c r="C220" i="1"/>
  <c r="C288" i="1"/>
  <c r="C292" i="1"/>
  <c r="C426" i="1"/>
  <c r="C420" i="1"/>
  <c r="C231" i="1"/>
  <c r="C217" i="1"/>
  <c r="C365" i="1"/>
  <c r="C468" i="1"/>
  <c r="C201" i="1"/>
  <c r="C337" i="1"/>
  <c r="C94" i="1"/>
  <c r="C388" i="1"/>
  <c r="C145" i="1"/>
  <c r="C306" i="1"/>
  <c r="C444" i="1"/>
  <c r="C439" i="1"/>
  <c r="C99" i="1"/>
  <c r="C449" i="1"/>
  <c r="C463" i="1"/>
  <c r="C377" i="1"/>
  <c r="C179" i="1"/>
  <c r="C236" i="1"/>
  <c r="C187" i="1"/>
  <c r="C483" i="1"/>
  <c r="C93" i="1"/>
  <c r="C435" i="1"/>
  <c r="C324" i="1"/>
  <c r="C178" i="1"/>
  <c r="C387" i="1"/>
  <c r="C241" i="1"/>
  <c r="C417" i="1"/>
  <c r="C177" i="1"/>
  <c r="C170" i="1"/>
  <c r="C494" i="1"/>
  <c r="C134" i="1"/>
  <c r="C261" i="1"/>
  <c r="C5" i="1"/>
  <c r="C118" i="1"/>
  <c r="C76" i="1"/>
  <c r="C43" i="1"/>
  <c r="C271" i="1"/>
  <c r="C374" i="1"/>
  <c r="C88" i="1"/>
  <c r="C120" i="1"/>
  <c r="C147" i="1"/>
  <c r="C471" i="1"/>
  <c r="C253" i="1"/>
  <c r="C491" i="1"/>
  <c r="C297" i="1"/>
  <c r="C240" i="1"/>
  <c r="C228" i="1"/>
  <c r="C207" i="1"/>
  <c r="C497" i="1"/>
  <c r="C160" i="1"/>
  <c r="C265" i="1"/>
  <c r="C163" i="1"/>
  <c r="C275" i="1"/>
  <c r="C446" i="1"/>
  <c r="C159" i="1"/>
  <c r="C127" i="1"/>
  <c r="C258" i="1"/>
  <c r="C25" i="1"/>
  <c r="C242" i="1"/>
  <c r="C111" i="1"/>
  <c r="C433" i="1"/>
  <c r="C58" i="1"/>
  <c r="C157" i="1"/>
  <c r="C45" i="1"/>
  <c r="C105" i="1"/>
  <c r="C202" i="1"/>
  <c r="C327" i="1"/>
  <c r="C243" i="1"/>
  <c r="C355" i="1"/>
  <c r="C16" i="1"/>
  <c r="C70" i="1"/>
  <c r="C156" i="1"/>
  <c r="C83" i="1"/>
  <c r="C298" i="1"/>
  <c r="C281" i="1"/>
  <c r="C29" i="1"/>
  <c r="C462" i="1"/>
  <c r="C174" i="1"/>
  <c r="C75" i="1"/>
  <c r="C128" i="1"/>
  <c r="C196" i="1"/>
  <c r="C210" i="1"/>
  <c r="C7" i="1"/>
  <c r="C185" i="1"/>
  <c r="C27" i="1"/>
  <c r="C303" i="1"/>
  <c r="C109" i="1"/>
  <c r="C409" i="1"/>
  <c r="C192" i="1"/>
  <c r="C104" i="1"/>
  <c r="C432" i="1"/>
  <c r="C393" i="1"/>
  <c r="C213" i="1"/>
  <c r="C418" i="1"/>
  <c r="C113" i="1"/>
  <c r="C398" i="1"/>
  <c r="C39" i="1"/>
  <c r="C401" i="1"/>
  <c r="C142" i="1"/>
  <c r="C150" i="1"/>
  <c r="C52" i="1"/>
  <c r="C452" i="1"/>
  <c r="C84" i="1"/>
  <c r="C250" i="1"/>
  <c r="C406" i="1"/>
  <c r="C268" i="1"/>
  <c r="C333" i="1"/>
  <c r="C280" i="1"/>
  <c r="C162" i="1"/>
  <c r="C332" i="1"/>
  <c r="C199" i="1"/>
  <c r="C206" i="1"/>
  <c r="C225" i="1"/>
  <c r="C314" i="1"/>
  <c r="C63" i="1"/>
  <c r="C289" i="1"/>
  <c r="C19" i="1"/>
  <c r="C189" i="1"/>
  <c r="C285" i="1"/>
  <c r="C414" i="1"/>
  <c r="C48" i="1"/>
  <c r="C316" i="1"/>
  <c r="C68" i="1"/>
  <c r="C232" i="1"/>
  <c r="C161" i="1"/>
  <c r="C276" i="1"/>
  <c r="C112" i="1"/>
  <c r="C291" i="1"/>
  <c r="C244" i="1"/>
  <c r="C86" i="1"/>
  <c r="C28" i="1"/>
  <c r="C169" i="1"/>
  <c r="C71" i="1"/>
  <c r="C278" i="1"/>
  <c r="C66" i="1"/>
  <c r="C294" i="1"/>
  <c r="C154" i="1"/>
  <c r="C165" i="1"/>
  <c r="C260" i="1"/>
  <c r="C255" i="1"/>
  <c r="C47" i="1"/>
  <c r="C361" i="1"/>
  <c r="C17" i="1"/>
  <c r="C200" i="1"/>
  <c r="C204" i="1"/>
  <c r="C315" i="1"/>
  <c r="C390" i="1"/>
  <c r="C488" i="1"/>
  <c r="C378" i="1"/>
  <c r="C368" i="1"/>
  <c r="C322" i="1"/>
  <c r="C219" i="1"/>
  <c r="C223" i="1"/>
  <c r="C34" i="1"/>
  <c r="C249" i="1"/>
  <c r="C72" i="1"/>
  <c r="C293" i="1"/>
  <c r="C59" i="1"/>
  <c r="C73" i="1"/>
  <c r="C307" i="1"/>
  <c r="C470" i="1"/>
  <c r="C101" i="1"/>
  <c r="C188" i="1"/>
  <c r="C80" i="1"/>
  <c r="C78" i="1"/>
  <c r="C334" i="1"/>
  <c r="C349" i="1"/>
  <c r="C335" i="1"/>
  <c r="C54" i="1"/>
  <c r="C181" i="1"/>
  <c r="C304" i="1"/>
  <c r="C239" i="1"/>
  <c r="C124" i="1"/>
  <c r="C325" i="1"/>
  <c r="C138" i="1"/>
  <c r="C279" i="1"/>
  <c r="C466" i="1"/>
  <c r="C305" i="1"/>
  <c r="C427" i="1"/>
  <c r="C152" i="1"/>
  <c r="C141" i="1"/>
  <c r="C341" i="1"/>
  <c r="C429" i="1"/>
  <c r="C499" i="1"/>
  <c r="C67" i="1"/>
  <c r="C30" i="1"/>
  <c r="C198" i="1"/>
  <c r="C55" i="1"/>
  <c r="C137" i="1"/>
  <c r="C259" i="1"/>
  <c r="C431" i="1"/>
  <c r="C221" i="1"/>
  <c r="C440" i="1"/>
  <c r="C245" i="1"/>
  <c r="C383" i="1"/>
  <c r="C456" i="1"/>
  <c r="C379" i="1"/>
  <c r="C133" i="1"/>
  <c r="C108" i="1"/>
  <c r="C77" i="1"/>
  <c r="C129" i="1"/>
  <c r="C317" i="1"/>
  <c r="C262" i="1"/>
  <c r="C74" i="1"/>
  <c r="C57" i="1"/>
  <c r="C114" i="1"/>
  <c r="C191" i="1"/>
  <c r="C412" i="1"/>
  <c r="C247" i="1"/>
  <c r="C480" i="1"/>
  <c r="C233" i="1"/>
  <c r="C131" i="1"/>
  <c r="C340" i="1"/>
  <c r="C106" i="1"/>
  <c r="C155" i="1"/>
  <c r="C321" i="1"/>
  <c r="C472" i="1"/>
  <c r="C176" i="1"/>
  <c r="C183" i="1"/>
  <c r="C110" i="1"/>
  <c r="C166" i="1"/>
  <c r="C492" i="1"/>
  <c r="C437" i="1"/>
  <c r="C408" i="1"/>
  <c r="C87" i="1"/>
  <c r="C252" i="1"/>
  <c r="C182" i="1"/>
  <c r="C284" i="1"/>
  <c r="C214" i="1"/>
  <c r="C229" i="1"/>
  <c r="C149" i="1"/>
  <c r="C421" i="1"/>
  <c r="C343" i="1"/>
  <c r="C411" i="1"/>
  <c r="C296" i="1"/>
  <c r="C85" i="1"/>
  <c r="C82" i="1"/>
  <c r="C115" i="1"/>
  <c r="C485" i="1"/>
  <c r="C95" i="1"/>
  <c r="C12" i="1"/>
  <c r="C477" i="1"/>
  <c r="C353" i="1"/>
  <c r="C484" i="1"/>
  <c r="B167" i="1"/>
  <c r="B301" i="1"/>
  <c r="B23" i="1"/>
  <c r="B369" i="1"/>
  <c r="B295" i="1"/>
  <c r="B46" i="1"/>
  <c r="B356" i="1"/>
  <c r="B172" i="1"/>
  <c r="B450" i="1"/>
  <c r="B489" i="1"/>
  <c r="B399" i="1"/>
  <c r="B184" i="1"/>
  <c r="B269" i="1"/>
  <c r="B33" i="1"/>
  <c r="B205" i="1"/>
  <c r="B24" i="1"/>
  <c r="B270" i="1"/>
  <c r="B396" i="1"/>
  <c r="B208" i="1"/>
  <c r="B318" i="1"/>
  <c r="B443" i="1"/>
  <c r="B323" i="1"/>
  <c r="B144" i="1"/>
  <c r="B42" i="1"/>
  <c r="B97" i="1"/>
  <c r="B277" i="1"/>
  <c r="B498" i="1"/>
  <c r="B410" i="1"/>
  <c r="B320" i="1"/>
  <c r="B100" i="1"/>
  <c r="B419" i="1"/>
  <c r="B290" i="1"/>
  <c r="B230" i="1"/>
  <c r="B18" i="1"/>
  <c r="B227" i="1"/>
  <c r="B32" i="1"/>
  <c r="B218" i="1"/>
  <c r="B359" i="1"/>
  <c r="B136" i="1"/>
  <c r="B344" i="1"/>
  <c r="B424" i="1"/>
  <c r="B92" i="1"/>
  <c r="B346" i="1"/>
  <c r="B14" i="1"/>
  <c r="B357" i="1"/>
  <c r="B441" i="1"/>
  <c r="B190" i="1"/>
  <c r="B125" i="1"/>
  <c r="B31" i="1"/>
  <c r="B211" i="1"/>
  <c r="B62" i="1"/>
  <c r="B209" i="1"/>
  <c r="B348" i="1"/>
  <c r="B459" i="1"/>
  <c r="B460" i="1"/>
  <c r="B146" i="1"/>
  <c r="B375" i="1"/>
  <c r="B381" i="1"/>
  <c r="B445" i="1"/>
  <c r="B313" i="1"/>
  <c r="B267" i="1"/>
  <c r="B257" i="1"/>
  <c r="B486" i="1"/>
  <c r="B234" i="1"/>
  <c r="B455" i="1"/>
  <c r="B330" i="1"/>
  <c r="B461" i="1"/>
  <c r="B153" i="1"/>
  <c r="B392" i="1"/>
  <c r="B308" i="1"/>
  <c r="B367" i="1"/>
  <c r="B467" i="1"/>
  <c r="B238" i="1"/>
  <c r="B331" i="1"/>
  <c r="B194" i="1"/>
  <c r="B385" i="1"/>
  <c r="B382" i="1"/>
  <c r="B329" i="1"/>
  <c r="B263" i="1"/>
  <c r="B360" i="1"/>
  <c r="B235" i="1"/>
  <c r="B195" i="1"/>
  <c r="B430" i="1"/>
  <c r="B326" i="1"/>
  <c r="B287" i="1"/>
  <c r="B402" i="1"/>
  <c r="B487" i="1"/>
  <c r="B11" i="1"/>
  <c r="B354" i="1"/>
  <c r="B36" i="1"/>
  <c r="B10" i="1"/>
  <c r="B376" i="1"/>
  <c r="B338" i="1"/>
  <c r="B286" i="1"/>
  <c r="B476" i="1"/>
  <c r="B158" i="1"/>
  <c r="B362" i="1"/>
  <c r="B212" i="1"/>
  <c r="B458" i="1"/>
  <c r="B272" i="1"/>
  <c r="B478" i="1"/>
  <c r="B311" i="1"/>
  <c r="B264" i="1"/>
  <c r="B347" i="1"/>
  <c r="B22" i="1"/>
  <c r="B380" i="1"/>
  <c r="B370" i="1"/>
  <c r="B60" i="1"/>
  <c r="B403" i="1"/>
  <c r="B171" i="1"/>
  <c r="B91" i="1"/>
  <c r="B130" i="1"/>
  <c r="B339" i="1"/>
  <c r="B248" i="1"/>
  <c r="B451" i="1"/>
  <c r="B479" i="1"/>
  <c r="B20" i="1"/>
  <c r="B319" i="1"/>
  <c r="B203" i="1"/>
  <c r="B493" i="1"/>
  <c r="B336" i="1"/>
  <c r="B397" i="1"/>
  <c r="B400" i="1"/>
  <c r="B122" i="1"/>
  <c r="B107" i="1"/>
  <c r="B186" i="1"/>
  <c r="B81" i="1"/>
  <c r="B21" i="1"/>
  <c r="B395" i="1"/>
  <c r="B438" i="1"/>
  <c r="B495" i="1"/>
  <c r="B389" i="1"/>
  <c r="B98" i="1"/>
  <c r="B139" i="1"/>
  <c r="B413" i="1"/>
  <c r="B442" i="1"/>
  <c r="B481" i="1"/>
  <c r="B237" i="1"/>
  <c r="B274" i="1"/>
  <c r="B328" i="1"/>
  <c r="B490" i="1"/>
  <c r="B358" i="1"/>
  <c r="B56" i="1"/>
  <c r="B384" i="1"/>
  <c r="B394" i="1"/>
  <c r="B300" i="1"/>
  <c r="B2" i="1"/>
  <c r="B246" i="1"/>
  <c r="B407" i="1"/>
  <c r="B168" i="1"/>
  <c r="B215" i="1"/>
  <c r="B454" i="1"/>
  <c r="B310" i="1"/>
  <c r="B4" i="1"/>
  <c r="B37" i="1"/>
  <c r="B121" i="1"/>
  <c r="B90" i="1"/>
  <c r="B405" i="1"/>
  <c r="B13" i="1"/>
  <c r="B352" i="1"/>
  <c r="B116" i="1"/>
  <c r="B49" i="1"/>
  <c r="B132" i="1"/>
  <c r="B9" i="1"/>
  <c r="B469" i="1"/>
  <c r="B415" i="1"/>
  <c r="B371" i="1"/>
  <c r="B151" i="1"/>
  <c r="B475" i="1"/>
  <c r="B148" i="1"/>
  <c r="B448" i="1"/>
  <c r="B447" i="1"/>
  <c r="B457" i="1"/>
  <c r="B423" i="1"/>
  <c r="B8" i="1"/>
  <c r="B180" i="1"/>
  <c r="B216" i="1"/>
  <c r="B482" i="1"/>
  <c r="B35" i="1"/>
  <c r="B65" i="1"/>
  <c r="B299" i="1"/>
  <c r="B3" i="1"/>
  <c r="B140" i="1"/>
  <c r="B283" i="1"/>
  <c r="B391" i="1"/>
  <c r="B64" i="1"/>
  <c r="B119" i="1"/>
  <c r="B143" i="1"/>
  <c r="B102" i="1"/>
  <c r="B345" i="1"/>
  <c r="B173" i="1"/>
  <c r="B254" i="1"/>
  <c r="B266" i="1"/>
  <c r="B197" i="1"/>
  <c r="B363" i="1"/>
  <c r="B496" i="1"/>
  <c r="B309" i="1"/>
  <c r="B350" i="1"/>
  <c r="B422" i="1"/>
  <c r="B69" i="1"/>
  <c r="B342" i="1"/>
  <c r="B386" i="1"/>
  <c r="B436" i="1"/>
  <c r="B40" i="1"/>
  <c r="B164" i="1"/>
  <c r="B117" i="1"/>
  <c r="B453" i="1"/>
  <c r="B89" i="1"/>
  <c r="B222" i="1"/>
  <c r="B373" i="1"/>
  <c r="B15" i="1"/>
  <c r="B126" i="1"/>
  <c r="B224" i="1"/>
  <c r="B256" i="1"/>
  <c r="B312" i="1"/>
  <c r="B465" i="1"/>
  <c r="B6" i="1"/>
  <c r="B123" i="1"/>
  <c r="B50" i="1"/>
  <c r="B41" i="1"/>
  <c r="B273" i="1"/>
  <c r="B96" i="1"/>
  <c r="B61" i="1"/>
  <c r="B434" i="1"/>
  <c r="B425" i="1"/>
  <c r="B103" i="1"/>
  <c r="B175" i="1"/>
  <c r="B404" i="1"/>
  <c r="B79" i="1"/>
  <c r="B282" i="1"/>
  <c r="B53" i="1"/>
  <c r="B366" i="1"/>
  <c r="B372" i="1"/>
  <c r="B251" i="1"/>
  <c r="B473" i="1"/>
  <c r="B351" i="1"/>
  <c r="B226" i="1"/>
  <c r="B26" i="1"/>
  <c r="B302" i="1"/>
  <c r="B464" i="1"/>
  <c r="B38" i="1"/>
  <c r="B428" i="1"/>
  <c r="B135" i="1"/>
  <c r="B474" i="1"/>
  <c r="B193" i="1"/>
  <c r="B364" i="1"/>
  <c r="B44" i="1"/>
  <c r="B416" i="1"/>
  <c r="B51" i="1"/>
  <c r="B220" i="1"/>
  <c r="B288" i="1"/>
  <c r="B292" i="1"/>
  <c r="B426" i="1"/>
  <c r="B420" i="1"/>
  <c r="B231" i="1"/>
  <c r="B217" i="1"/>
  <c r="B365" i="1"/>
  <c r="B468" i="1"/>
  <c r="B201" i="1"/>
  <c r="B337" i="1"/>
  <c r="B94" i="1"/>
  <c r="B388" i="1"/>
  <c r="B145" i="1"/>
  <c r="B306" i="1"/>
  <c r="B444" i="1"/>
  <c r="B439" i="1"/>
  <c r="B99" i="1"/>
  <c r="B449" i="1"/>
  <c r="B463" i="1"/>
  <c r="B377" i="1"/>
  <c r="B179" i="1"/>
  <c r="B236" i="1"/>
  <c r="B187" i="1"/>
  <c r="B483" i="1"/>
  <c r="B93" i="1"/>
  <c r="B435" i="1"/>
  <c r="B324" i="1"/>
  <c r="B178" i="1"/>
  <c r="B387" i="1"/>
  <c r="B241" i="1"/>
  <c r="B417" i="1"/>
  <c r="B177" i="1"/>
  <c r="B170" i="1"/>
  <c r="B494" i="1"/>
  <c r="B134" i="1"/>
  <c r="B261" i="1"/>
  <c r="B5" i="1"/>
  <c r="B118" i="1"/>
  <c r="B76" i="1"/>
  <c r="B43" i="1"/>
  <c r="B271" i="1"/>
  <c r="B374" i="1"/>
  <c r="B88" i="1"/>
  <c r="B120" i="1"/>
  <c r="B147" i="1"/>
  <c r="B471" i="1"/>
  <c r="B253" i="1"/>
  <c r="B491" i="1"/>
  <c r="B297" i="1"/>
  <c r="B240" i="1"/>
  <c r="B228" i="1"/>
  <c r="B207" i="1"/>
  <c r="B497" i="1"/>
  <c r="B160" i="1"/>
  <c r="B265" i="1"/>
  <c r="B163" i="1"/>
  <c r="B275" i="1"/>
  <c r="B446" i="1"/>
  <c r="B159" i="1"/>
  <c r="B127" i="1"/>
  <c r="B258" i="1"/>
  <c r="B25" i="1"/>
  <c r="B242" i="1"/>
  <c r="B111" i="1"/>
  <c r="B433" i="1"/>
  <c r="B58" i="1"/>
  <c r="B157" i="1"/>
  <c r="B45" i="1"/>
  <c r="B105" i="1"/>
  <c r="B202" i="1"/>
  <c r="B327" i="1"/>
  <c r="B243" i="1"/>
  <c r="B355" i="1"/>
  <c r="B16" i="1"/>
  <c r="B70" i="1"/>
  <c r="B156" i="1"/>
  <c r="B83" i="1"/>
  <c r="B298" i="1"/>
  <c r="B281" i="1"/>
  <c r="B29" i="1"/>
  <c r="B462" i="1"/>
  <c r="B174" i="1"/>
  <c r="B75" i="1"/>
  <c r="B128" i="1"/>
  <c r="B196" i="1"/>
  <c r="B210" i="1"/>
  <c r="B7" i="1"/>
  <c r="B185" i="1"/>
  <c r="B27" i="1"/>
  <c r="B303" i="1"/>
  <c r="B109" i="1"/>
  <c r="B409" i="1"/>
  <c r="B192" i="1"/>
  <c r="B104" i="1"/>
  <c r="B432" i="1"/>
  <c r="B393" i="1"/>
  <c r="B213" i="1"/>
  <c r="B418" i="1"/>
  <c r="B113" i="1"/>
  <c r="B398" i="1"/>
  <c r="B39" i="1"/>
  <c r="B401" i="1"/>
  <c r="B142" i="1"/>
  <c r="B150" i="1"/>
  <c r="B52" i="1"/>
  <c r="B452" i="1"/>
  <c r="B84" i="1"/>
  <c r="B250" i="1"/>
  <c r="B406" i="1"/>
  <c r="B268" i="1"/>
  <c r="B333" i="1"/>
  <c r="B280" i="1"/>
  <c r="B162" i="1"/>
  <c r="B332" i="1"/>
  <c r="B199" i="1"/>
  <c r="B206" i="1"/>
  <c r="B225" i="1"/>
  <c r="B314" i="1"/>
  <c r="B63" i="1"/>
  <c r="B289" i="1"/>
  <c r="B19" i="1"/>
  <c r="B189" i="1"/>
  <c r="B285" i="1"/>
  <c r="B414" i="1"/>
  <c r="B48" i="1"/>
  <c r="B316" i="1"/>
  <c r="B68" i="1"/>
  <c r="B232" i="1"/>
  <c r="B161" i="1"/>
  <c r="B276" i="1"/>
  <c r="B112" i="1"/>
  <c r="B291" i="1"/>
  <c r="B244" i="1"/>
  <c r="B86" i="1"/>
  <c r="B28" i="1"/>
  <c r="B169" i="1"/>
  <c r="B71" i="1"/>
  <c r="B278" i="1"/>
  <c r="B66" i="1"/>
  <c r="B294" i="1"/>
  <c r="B154" i="1"/>
  <c r="B165" i="1"/>
  <c r="B260" i="1"/>
  <c r="B255" i="1"/>
  <c r="B47" i="1"/>
  <c r="B361" i="1"/>
  <c r="B17" i="1"/>
  <c r="B200" i="1"/>
  <c r="B204" i="1"/>
  <c r="B315" i="1"/>
  <c r="B390" i="1"/>
  <c r="B488" i="1"/>
  <c r="B378" i="1"/>
  <c r="B368" i="1"/>
  <c r="B322" i="1"/>
  <c r="B219" i="1"/>
  <c r="B223" i="1"/>
  <c r="B34" i="1"/>
  <c r="B249" i="1"/>
  <c r="B72" i="1"/>
  <c r="B293" i="1"/>
  <c r="B59" i="1"/>
  <c r="B73" i="1"/>
  <c r="B307" i="1"/>
  <c r="B470" i="1"/>
  <c r="B101" i="1"/>
  <c r="B188" i="1"/>
  <c r="B80" i="1"/>
  <c r="B78" i="1"/>
  <c r="B334" i="1"/>
  <c r="B349" i="1"/>
  <c r="B335" i="1"/>
  <c r="B54" i="1"/>
  <c r="B181" i="1"/>
  <c r="B304" i="1"/>
  <c r="B239" i="1"/>
  <c r="B124" i="1"/>
  <c r="B325" i="1"/>
  <c r="B138" i="1"/>
  <c r="B279" i="1"/>
  <c r="B466" i="1"/>
  <c r="B305" i="1"/>
  <c r="B427" i="1"/>
  <c r="B152" i="1"/>
  <c r="B141" i="1"/>
  <c r="B341" i="1"/>
  <c r="B429" i="1"/>
  <c r="B499" i="1"/>
  <c r="B67" i="1"/>
  <c r="B30" i="1"/>
  <c r="B198" i="1"/>
  <c r="B55" i="1"/>
  <c r="B137" i="1"/>
  <c r="B259" i="1"/>
  <c r="B431" i="1"/>
  <c r="B221" i="1"/>
  <c r="B440" i="1"/>
  <c r="B245" i="1"/>
  <c r="B383" i="1"/>
  <c r="B456" i="1"/>
  <c r="B379" i="1"/>
  <c r="B133" i="1"/>
  <c r="B108" i="1"/>
  <c r="B77" i="1"/>
  <c r="B129" i="1"/>
  <c r="B317" i="1"/>
  <c r="B262" i="1"/>
  <c r="B74" i="1"/>
  <c r="B57" i="1"/>
  <c r="B114" i="1"/>
  <c r="B191" i="1"/>
  <c r="B412" i="1"/>
  <c r="B247" i="1"/>
  <c r="B480" i="1"/>
  <c r="B233" i="1"/>
  <c r="B131" i="1"/>
  <c r="B340" i="1"/>
  <c r="B106" i="1"/>
  <c r="B155" i="1"/>
  <c r="B321" i="1"/>
  <c r="B472" i="1"/>
  <c r="B176" i="1"/>
  <c r="B183" i="1"/>
  <c r="B110" i="1"/>
  <c r="B166" i="1"/>
  <c r="B492" i="1"/>
  <c r="B437" i="1"/>
  <c r="B408" i="1"/>
  <c r="B87" i="1"/>
  <c r="B252" i="1"/>
  <c r="B182" i="1"/>
  <c r="B284" i="1"/>
  <c r="B214" i="1"/>
  <c r="B229" i="1"/>
  <c r="B149" i="1"/>
  <c r="B421" i="1"/>
  <c r="B343" i="1"/>
  <c r="B411" i="1"/>
  <c r="B296" i="1"/>
  <c r="B85" i="1"/>
  <c r="B82" i="1"/>
  <c r="B115" i="1"/>
  <c r="B485" i="1"/>
  <c r="B95" i="1"/>
  <c r="B12" i="1"/>
  <c r="B477" i="1"/>
  <c r="B353" i="1"/>
  <c r="B484" i="1"/>
  <c r="A167" i="1"/>
  <c r="A301" i="1"/>
  <c r="A23" i="1"/>
  <c r="A369" i="1"/>
  <c r="A295" i="1"/>
  <c r="A46" i="1"/>
  <c r="A356" i="1"/>
  <c r="A172" i="1"/>
  <c r="A450" i="1"/>
  <c r="A489" i="1"/>
  <c r="A399" i="1"/>
  <c r="A184" i="1"/>
  <c r="A269" i="1"/>
  <c r="A33" i="1"/>
  <c r="A205" i="1"/>
  <c r="A24" i="1"/>
  <c r="A270" i="1"/>
  <c r="A396" i="1"/>
  <c r="A208" i="1"/>
  <c r="A318" i="1"/>
  <c r="A443" i="1"/>
  <c r="A323" i="1"/>
  <c r="A144" i="1"/>
  <c r="A42" i="1"/>
  <c r="A97" i="1"/>
  <c r="A277" i="1"/>
  <c r="A498" i="1"/>
  <c r="A410" i="1"/>
  <c r="A320" i="1"/>
  <c r="A100" i="1"/>
  <c r="A419" i="1"/>
  <c r="A290" i="1"/>
  <c r="A230" i="1"/>
  <c r="A18" i="1"/>
  <c r="A227" i="1"/>
  <c r="A32" i="1"/>
  <c r="A218" i="1"/>
  <c r="A359" i="1"/>
  <c r="A136" i="1"/>
  <c r="A344" i="1"/>
  <c r="A424" i="1"/>
  <c r="A92" i="1"/>
  <c r="A346" i="1"/>
  <c r="A14" i="1"/>
  <c r="A357" i="1"/>
  <c r="A441" i="1"/>
  <c r="A190" i="1"/>
  <c r="A125" i="1"/>
  <c r="A31" i="1"/>
  <c r="A211" i="1"/>
  <c r="A62" i="1"/>
  <c r="A209" i="1"/>
  <c r="A348" i="1"/>
  <c r="A459" i="1"/>
  <c r="A460" i="1"/>
  <c r="A146" i="1"/>
  <c r="A375" i="1"/>
  <c r="A381" i="1"/>
  <c r="A445" i="1"/>
  <c r="A313" i="1"/>
  <c r="A267" i="1"/>
  <c r="A257" i="1"/>
  <c r="A486" i="1"/>
  <c r="A234" i="1"/>
  <c r="A455" i="1"/>
  <c r="A330" i="1"/>
  <c r="A461" i="1"/>
  <c r="A153" i="1"/>
  <c r="A392" i="1"/>
  <c r="A308" i="1"/>
  <c r="A367" i="1"/>
  <c r="A467" i="1"/>
  <c r="A238" i="1"/>
  <c r="A331" i="1"/>
  <c r="A194" i="1"/>
  <c r="A385" i="1"/>
  <c r="A382" i="1"/>
  <c r="A329" i="1"/>
  <c r="A263" i="1"/>
  <c r="A360" i="1"/>
  <c r="A235" i="1"/>
  <c r="A195" i="1"/>
  <c r="A430" i="1"/>
  <c r="A326" i="1"/>
  <c r="A287" i="1"/>
  <c r="A402" i="1"/>
  <c r="A487" i="1"/>
  <c r="A11" i="1"/>
  <c r="A354" i="1"/>
  <c r="A36" i="1"/>
  <c r="A10" i="1"/>
  <c r="A376" i="1"/>
  <c r="A338" i="1"/>
  <c r="A286" i="1"/>
  <c r="A476" i="1"/>
  <c r="A158" i="1"/>
  <c r="A362" i="1"/>
  <c r="A212" i="1"/>
  <c r="A458" i="1"/>
  <c r="A272" i="1"/>
  <c r="A478" i="1"/>
  <c r="A311" i="1"/>
  <c r="A264" i="1"/>
  <c r="A347" i="1"/>
  <c r="A22" i="1"/>
  <c r="A380" i="1"/>
  <c r="A370" i="1"/>
  <c r="A60" i="1"/>
  <c r="A403" i="1"/>
  <c r="A171" i="1"/>
  <c r="A91" i="1"/>
  <c r="A130" i="1"/>
  <c r="A339" i="1"/>
  <c r="A248" i="1"/>
  <c r="A451" i="1"/>
  <c r="A479" i="1"/>
  <c r="A20" i="1"/>
  <c r="A319" i="1"/>
  <c r="A203" i="1"/>
  <c r="A493" i="1"/>
  <c r="A336" i="1"/>
  <c r="A397" i="1"/>
  <c r="A400" i="1"/>
  <c r="A122" i="1"/>
  <c r="A107" i="1"/>
  <c r="A186" i="1"/>
  <c r="A81" i="1"/>
  <c r="A21" i="1"/>
  <c r="A395" i="1"/>
  <c r="A438" i="1"/>
  <c r="A495" i="1"/>
  <c r="A389" i="1"/>
  <c r="A98" i="1"/>
  <c r="A139" i="1"/>
  <c r="A413" i="1"/>
  <c r="A442" i="1"/>
  <c r="A481" i="1"/>
  <c r="A237" i="1"/>
  <c r="A274" i="1"/>
  <c r="A328" i="1"/>
  <c r="A490" i="1"/>
  <c r="A358" i="1"/>
  <c r="A56" i="1"/>
  <c r="A384" i="1"/>
  <c r="A394" i="1"/>
  <c r="A300" i="1"/>
  <c r="A2" i="1"/>
  <c r="A246" i="1"/>
  <c r="A407" i="1"/>
  <c r="A168" i="1"/>
  <c r="A215" i="1"/>
  <c r="A454" i="1"/>
  <c r="A310" i="1"/>
  <c r="A4" i="1"/>
  <c r="A37" i="1"/>
  <c r="A121" i="1"/>
  <c r="A90" i="1"/>
  <c r="A405" i="1"/>
  <c r="A13" i="1"/>
  <c r="A352" i="1"/>
  <c r="A116" i="1"/>
  <c r="A49" i="1"/>
  <c r="A132" i="1"/>
  <c r="A9" i="1"/>
  <c r="A469" i="1"/>
  <c r="A415" i="1"/>
  <c r="A371" i="1"/>
  <c r="A151" i="1"/>
  <c r="A475" i="1"/>
  <c r="A148" i="1"/>
  <c r="A448" i="1"/>
  <c r="A447" i="1"/>
  <c r="A457" i="1"/>
  <c r="A423" i="1"/>
  <c r="A8" i="1"/>
  <c r="A180" i="1"/>
  <c r="A216" i="1"/>
  <c r="A482" i="1"/>
  <c r="A35" i="1"/>
  <c r="A65" i="1"/>
  <c r="A299" i="1"/>
  <c r="A3" i="1"/>
  <c r="A140" i="1"/>
  <c r="A283" i="1"/>
  <c r="A391" i="1"/>
  <c r="A64" i="1"/>
  <c r="A119" i="1"/>
  <c r="A143" i="1"/>
  <c r="A102" i="1"/>
  <c r="A345" i="1"/>
  <c r="A173" i="1"/>
  <c r="A254" i="1"/>
  <c r="A266" i="1"/>
  <c r="A197" i="1"/>
  <c r="A363" i="1"/>
  <c r="A496" i="1"/>
  <c r="A309" i="1"/>
  <c r="A350" i="1"/>
  <c r="A422" i="1"/>
  <c r="A69" i="1"/>
  <c r="A342" i="1"/>
  <c r="A386" i="1"/>
  <c r="A436" i="1"/>
  <c r="A40" i="1"/>
  <c r="A164" i="1"/>
  <c r="A117" i="1"/>
  <c r="A453" i="1"/>
  <c r="A89" i="1"/>
  <c r="A222" i="1"/>
  <c r="A373" i="1"/>
  <c r="A15" i="1"/>
  <c r="A126" i="1"/>
  <c r="A224" i="1"/>
  <c r="A256" i="1"/>
  <c r="A312" i="1"/>
  <c r="A465" i="1"/>
  <c r="A6" i="1"/>
  <c r="A123" i="1"/>
  <c r="A50" i="1"/>
  <c r="A41" i="1"/>
  <c r="A273" i="1"/>
  <c r="A96" i="1"/>
  <c r="A61" i="1"/>
  <c r="A434" i="1"/>
  <c r="A425" i="1"/>
  <c r="A103" i="1"/>
  <c r="A175" i="1"/>
  <c r="A404" i="1"/>
  <c r="A79" i="1"/>
  <c r="A282" i="1"/>
  <c r="A53" i="1"/>
  <c r="A366" i="1"/>
  <c r="A372" i="1"/>
  <c r="A251" i="1"/>
  <c r="A473" i="1"/>
  <c r="A351" i="1"/>
  <c r="A226" i="1"/>
  <c r="A26" i="1"/>
  <c r="A302" i="1"/>
  <c r="A464" i="1"/>
  <c r="A38" i="1"/>
  <c r="A428" i="1"/>
  <c r="A135" i="1"/>
  <c r="A474" i="1"/>
  <c r="A193" i="1"/>
  <c r="A364" i="1"/>
  <c r="A44" i="1"/>
  <c r="A416" i="1"/>
  <c r="A51" i="1"/>
  <c r="A220" i="1"/>
  <c r="A288" i="1"/>
  <c r="A292" i="1"/>
  <c r="A426" i="1"/>
  <c r="A420" i="1"/>
  <c r="A231" i="1"/>
  <c r="A217" i="1"/>
  <c r="A365" i="1"/>
  <c r="A468" i="1"/>
  <c r="A201" i="1"/>
  <c r="A337" i="1"/>
  <c r="A94" i="1"/>
  <c r="A388" i="1"/>
  <c r="A145" i="1"/>
  <c r="A306" i="1"/>
  <c r="A444" i="1"/>
  <c r="A439" i="1"/>
  <c r="A99" i="1"/>
  <c r="A449" i="1"/>
  <c r="A463" i="1"/>
  <c r="A377" i="1"/>
  <c r="A179" i="1"/>
  <c r="A236" i="1"/>
  <c r="A187" i="1"/>
  <c r="A483" i="1"/>
  <c r="A93" i="1"/>
  <c r="A435" i="1"/>
  <c r="A324" i="1"/>
  <c r="A178" i="1"/>
  <c r="A387" i="1"/>
  <c r="A241" i="1"/>
  <c r="A417" i="1"/>
  <c r="A177" i="1"/>
  <c r="A170" i="1"/>
  <c r="A494" i="1"/>
  <c r="A134" i="1"/>
  <c r="A261" i="1"/>
  <c r="A5" i="1"/>
  <c r="A118" i="1"/>
  <c r="A76" i="1"/>
  <c r="A43" i="1"/>
  <c r="A271" i="1"/>
  <c r="A374" i="1"/>
  <c r="A88" i="1"/>
  <c r="A120" i="1"/>
  <c r="A147" i="1"/>
  <c r="A471" i="1"/>
  <c r="A253" i="1"/>
  <c r="A491" i="1"/>
  <c r="A297" i="1"/>
  <c r="A240" i="1"/>
  <c r="A228" i="1"/>
  <c r="A207" i="1"/>
  <c r="A497" i="1"/>
  <c r="A160" i="1"/>
  <c r="A265" i="1"/>
  <c r="A163" i="1"/>
  <c r="A275" i="1"/>
  <c r="A446" i="1"/>
  <c r="A159" i="1"/>
  <c r="A127" i="1"/>
  <c r="A258" i="1"/>
  <c r="A25" i="1"/>
  <c r="A242" i="1"/>
  <c r="A111" i="1"/>
  <c r="A433" i="1"/>
  <c r="A58" i="1"/>
  <c r="A157" i="1"/>
  <c r="A45" i="1"/>
  <c r="A105" i="1"/>
  <c r="A202" i="1"/>
  <c r="A327" i="1"/>
  <c r="A243" i="1"/>
  <c r="A355" i="1"/>
  <c r="A16" i="1"/>
  <c r="A70" i="1"/>
  <c r="A156" i="1"/>
  <c r="A83" i="1"/>
  <c r="A298" i="1"/>
  <c r="A281" i="1"/>
  <c r="A29" i="1"/>
  <c r="A462" i="1"/>
  <c r="A174" i="1"/>
  <c r="A75" i="1"/>
  <c r="A128" i="1"/>
  <c r="A196" i="1"/>
  <c r="A210" i="1"/>
  <c r="A7" i="1"/>
  <c r="A185" i="1"/>
  <c r="A27" i="1"/>
  <c r="A303" i="1"/>
  <c r="A109" i="1"/>
  <c r="A409" i="1"/>
  <c r="A192" i="1"/>
  <c r="A104" i="1"/>
  <c r="A432" i="1"/>
  <c r="A393" i="1"/>
  <c r="A213" i="1"/>
  <c r="A418" i="1"/>
  <c r="A113" i="1"/>
  <c r="A398" i="1"/>
  <c r="A39" i="1"/>
  <c r="A401" i="1"/>
  <c r="A142" i="1"/>
  <c r="A150" i="1"/>
  <c r="A52" i="1"/>
  <c r="A452" i="1"/>
  <c r="A84" i="1"/>
  <c r="A250" i="1"/>
  <c r="A406" i="1"/>
  <c r="A268" i="1"/>
  <c r="A333" i="1"/>
  <c r="A280" i="1"/>
  <c r="A162" i="1"/>
  <c r="A332" i="1"/>
  <c r="A199" i="1"/>
  <c r="A206" i="1"/>
  <c r="A225" i="1"/>
  <c r="A314" i="1"/>
  <c r="A63" i="1"/>
  <c r="A289" i="1"/>
  <c r="A19" i="1"/>
  <c r="A189" i="1"/>
  <c r="A285" i="1"/>
  <c r="A414" i="1"/>
  <c r="A48" i="1"/>
  <c r="A316" i="1"/>
  <c r="A68" i="1"/>
  <c r="A232" i="1"/>
  <c r="A161" i="1"/>
  <c r="A276" i="1"/>
  <c r="A112" i="1"/>
  <c r="A291" i="1"/>
  <c r="A244" i="1"/>
  <c r="A86" i="1"/>
  <c r="A28" i="1"/>
  <c r="A169" i="1"/>
  <c r="A71" i="1"/>
  <c r="A278" i="1"/>
  <c r="A66" i="1"/>
  <c r="A294" i="1"/>
  <c r="A154" i="1"/>
  <c r="A165" i="1"/>
  <c r="A260" i="1"/>
  <c r="A255" i="1"/>
  <c r="A47" i="1"/>
  <c r="A361" i="1"/>
  <c r="A17" i="1"/>
  <c r="A200" i="1"/>
  <c r="A204" i="1"/>
  <c r="A315" i="1"/>
  <c r="A390" i="1"/>
  <c r="A488" i="1"/>
  <c r="A378" i="1"/>
  <c r="A368" i="1"/>
  <c r="A322" i="1"/>
  <c r="A219" i="1"/>
  <c r="A223" i="1"/>
  <c r="A34" i="1"/>
  <c r="A249" i="1"/>
  <c r="A72" i="1"/>
  <c r="A293" i="1"/>
  <c r="A59" i="1"/>
  <c r="A73" i="1"/>
  <c r="A307" i="1"/>
  <c r="A470" i="1"/>
  <c r="A101" i="1"/>
  <c r="A188" i="1"/>
  <c r="A80" i="1"/>
  <c r="A78" i="1"/>
  <c r="A334" i="1"/>
  <c r="A349" i="1"/>
  <c r="A335" i="1"/>
  <c r="A54" i="1"/>
  <c r="A181" i="1"/>
  <c r="A304" i="1"/>
  <c r="A239" i="1"/>
  <c r="A124" i="1"/>
  <c r="A325" i="1"/>
  <c r="A138" i="1"/>
  <c r="A279" i="1"/>
  <c r="A466" i="1"/>
  <c r="A305" i="1"/>
  <c r="A427" i="1"/>
  <c r="A152" i="1"/>
  <c r="A141" i="1"/>
  <c r="A341" i="1"/>
  <c r="A429" i="1"/>
  <c r="A499" i="1"/>
  <c r="A67" i="1"/>
  <c r="A30" i="1"/>
  <c r="A198" i="1"/>
  <c r="A55" i="1"/>
  <c r="A137" i="1"/>
  <c r="A259" i="1"/>
  <c r="A431" i="1"/>
  <c r="A221" i="1"/>
  <c r="A440" i="1"/>
  <c r="A245" i="1"/>
  <c r="A383" i="1"/>
  <c r="A456" i="1"/>
  <c r="A379" i="1"/>
  <c r="A133" i="1"/>
  <c r="A108" i="1"/>
  <c r="A77" i="1"/>
  <c r="A129" i="1"/>
  <c r="A317" i="1"/>
  <c r="A262" i="1"/>
  <c r="A74" i="1"/>
  <c r="A57" i="1"/>
  <c r="A114" i="1"/>
  <c r="A191" i="1"/>
  <c r="A412" i="1"/>
  <c r="A247" i="1"/>
  <c r="A480" i="1"/>
  <c r="A233" i="1"/>
  <c r="A131" i="1"/>
  <c r="A340" i="1"/>
  <c r="A106" i="1"/>
  <c r="A155" i="1"/>
  <c r="A321" i="1"/>
  <c r="A472" i="1"/>
  <c r="A176" i="1"/>
  <c r="A183" i="1"/>
  <c r="A110" i="1"/>
  <c r="A166" i="1"/>
  <c r="A492" i="1"/>
  <c r="A437" i="1"/>
  <c r="A408" i="1"/>
  <c r="A87" i="1"/>
  <c r="A252" i="1"/>
  <c r="A182" i="1"/>
  <c r="A284" i="1"/>
  <c r="A214" i="1"/>
  <c r="A229" i="1"/>
  <c r="A149" i="1"/>
  <c r="A421" i="1"/>
  <c r="A343" i="1"/>
  <c r="A411" i="1"/>
  <c r="A296" i="1"/>
  <c r="A85" i="1"/>
  <c r="A82" i="1"/>
  <c r="A115" i="1"/>
  <c r="A485" i="1"/>
  <c r="A95" i="1"/>
  <c r="A12" i="1"/>
  <c r="A477" i="1"/>
  <c r="A353" i="1"/>
  <c r="A484" i="1"/>
  <c r="E501" i="1" l="1"/>
  <c r="E255" i="1"/>
  <c r="E243" i="1"/>
  <c r="E23" i="1"/>
  <c r="E408" i="1"/>
  <c r="E345" i="1"/>
  <c r="E219" i="1"/>
  <c r="E190" i="1"/>
  <c r="E348" i="1"/>
  <c r="E128" i="1"/>
  <c r="E127" i="1"/>
  <c r="E256" i="1"/>
  <c r="E386" i="1"/>
  <c r="E296" i="1"/>
  <c r="E368" i="1"/>
  <c r="E167" i="1"/>
  <c r="E302" i="1"/>
  <c r="E108" i="1"/>
  <c r="E124" i="1"/>
  <c r="E152" i="1"/>
  <c r="E55" i="1"/>
  <c r="E393" i="1"/>
  <c r="E491" i="1"/>
  <c r="E388" i="1"/>
  <c r="E482" i="1"/>
  <c r="E4" i="1"/>
  <c r="E438" i="1"/>
  <c r="E367" i="1"/>
  <c r="E434" i="1"/>
  <c r="E312" i="1"/>
  <c r="E392" i="1"/>
  <c r="E461" i="1"/>
  <c r="E133" i="1"/>
  <c r="E202" i="1"/>
  <c r="E8" i="1"/>
  <c r="E376" i="1"/>
  <c r="E401" i="1"/>
  <c r="E440" i="1"/>
  <c r="E115" i="1"/>
  <c r="E223" i="1"/>
  <c r="E184" i="1"/>
  <c r="E172" i="1"/>
  <c r="E457" i="1"/>
  <c r="E248" i="1"/>
  <c r="E92" i="1"/>
  <c r="E308" i="1"/>
  <c r="E30" i="1"/>
  <c r="E276" i="1"/>
  <c r="E421" i="1"/>
  <c r="E163" i="1"/>
  <c r="E231" i="1"/>
  <c r="E53" i="1"/>
  <c r="E413" i="1"/>
  <c r="E169" i="1"/>
  <c r="E155" i="1"/>
  <c r="E242" i="1"/>
  <c r="E301" i="1"/>
  <c r="E244" i="1"/>
  <c r="E297" i="1"/>
  <c r="E173" i="1"/>
  <c r="E495" i="1"/>
  <c r="E195" i="1"/>
  <c r="E18" i="1"/>
  <c r="E73" i="1"/>
  <c r="E382" i="1"/>
  <c r="E270" i="1"/>
  <c r="E12" i="1"/>
  <c r="E204" i="1"/>
  <c r="E83" i="1"/>
  <c r="E387" i="1"/>
  <c r="E453" i="1"/>
  <c r="E140" i="1"/>
  <c r="E13" i="1"/>
  <c r="E185" i="1"/>
  <c r="E70" i="1"/>
  <c r="E121" i="1"/>
  <c r="E384" i="1"/>
  <c r="E112" i="1"/>
  <c r="E159" i="1"/>
  <c r="E132" i="1"/>
  <c r="E232" i="1"/>
  <c r="E29" i="1"/>
  <c r="E364" i="1"/>
  <c r="E141" i="1"/>
  <c r="E71" i="1"/>
  <c r="E39" i="1"/>
  <c r="E268" i="1"/>
  <c r="E210" i="1"/>
  <c r="E82" i="1"/>
  <c r="E340" i="1"/>
  <c r="E129" i="1"/>
  <c r="E137" i="1"/>
  <c r="E78" i="1"/>
  <c r="E19" i="1"/>
  <c r="E213" i="1"/>
  <c r="E175" i="1"/>
  <c r="E338" i="1"/>
  <c r="E375" i="1"/>
  <c r="E275" i="1"/>
  <c r="E201" i="1"/>
  <c r="E479" i="1"/>
  <c r="E14" i="1"/>
  <c r="E468" i="1"/>
  <c r="E96" i="1"/>
  <c r="E168" i="1"/>
  <c r="E237" i="1"/>
  <c r="E460" i="1"/>
  <c r="E66" i="1"/>
  <c r="E309" i="1"/>
  <c r="E477" i="1"/>
  <c r="E176" i="1"/>
  <c r="E339" i="1"/>
  <c r="E72" i="1"/>
  <c r="E400" i="1"/>
  <c r="E485" i="1"/>
  <c r="E427" i="1"/>
  <c r="E76" i="1"/>
  <c r="E331" i="1"/>
  <c r="E334" i="1"/>
  <c r="E267" i="1"/>
  <c r="E218" i="1"/>
  <c r="E466" i="1"/>
  <c r="E47" i="1"/>
  <c r="E196" i="1"/>
  <c r="E35" i="1"/>
  <c r="E371" i="1"/>
  <c r="E37" i="1"/>
  <c r="E493" i="1"/>
  <c r="E60" i="1"/>
  <c r="E313" i="1"/>
  <c r="E32" i="1"/>
  <c r="E289" i="1"/>
  <c r="E250" i="1"/>
  <c r="E26" i="1"/>
  <c r="E415" i="1"/>
  <c r="E430" i="1"/>
  <c r="E399" i="1"/>
  <c r="E432" i="1"/>
  <c r="E75" i="1"/>
  <c r="E490" i="1"/>
  <c r="E286" i="1"/>
  <c r="E480" i="1"/>
  <c r="E165" i="1"/>
  <c r="E314" i="1"/>
  <c r="E446" i="1"/>
  <c r="E69" i="1"/>
  <c r="E143" i="1"/>
  <c r="E9" i="1"/>
  <c r="E20" i="1"/>
  <c r="E22" i="1"/>
  <c r="E378" i="1"/>
  <c r="E192" i="1"/>
  <c r="E147" i="1"/>
  <c r="E170" i="1"/>
  <c r="E15" i="1"/>
  <c r="E488" i="1"/>
  <c r="E206" i="1"/>
  <c r="E353" i="1"/>
  <c r="E429" i="1"/>
  <c r="E365" i="1"/>
  <c r="E114" i="1"/>
  <c r="E245" i="1"/>
  <c r="E315" i="1"/>
  <c r="E474" i="1"/>
  <c r="E214" i="1"/>
  <c r="E48" i="1"/>
  <c r="E2" i="1"/>
  <c r="E130" i="1"/>
  <c r="E280" i="1"/>
  <c r="E178" i="1"/>
  <c r="E487" i="1"/>
  <c r="E431" i="1"/>
  <c r="E333" i="1"/>
  <c r="E113" i="1"/>
  <c r="E299" i="1"/>
  <c r="E475" i="1"/>
  <c r="E359" i="1"/>
  <c r="E33" i="1"/>
  <c r="E317" i="1"/>
  <c r="E16" i="1"/>
  <c r="E25" i="1"/>
  <c r="E118" i="1"/>
  <c r="E151" i="1"/>
  <c r="E389" i="1"/>
  <c r="E269" i="1"/>
  <c r="E406" i="1"/>
  <c r="E258" i="1"/>
  <c r="E145" i="1"/>
  <c r="E288" i="1"/>
  <c r="E436" i="1"/>
  <c r="E56" i="1"/>
  <c r="E158" i="1"/>
  <c r="E467" i="1"/>
  <c r="E131" i="1"/>
  <c r="E77" i="1"/>
  <c r="E291" i="1"/>
  <c r="E261" i="1"/>
  <c r="E220" i="1"/>
  <c r="E103" i="1"/>
  <c r="E203" i="1"/>
  <c r="E370" i="1"/>
  <c r="E476" i="1"/>
  <c r="E227" i="1"/>
  <c r="E144" i="1"/>
  <c r="E327" i="1"/>
  <c r="E310" i="1"/>
  <c r="E380" i="1"/>
  <c r="E492" i="1"/>
  <c r="E325" i="1"/>
  <c r="E101" i="1"/>
  <c r="E104" i="1"/>
  <c r="E351" i="1"/>
  <c r="E328" i="1"/>
  <c r="E343" i="1"/>
  <c r="E247" i="1"/>
  <c r="E379" i="1"/>
  <c r="E67" i="1"/>
  <c r="E154" i="1"/>
  <c r="E225" i="1"/>
  <c r="E105" i="1"/>
  <c r="E61" i="1"/>
  <c r="E215" i="1"/>
  <c r="E153" i="1"/>
  <c r="E110" i="1"/>
  <c r="E177" i="1"/>
  <c r="E251" i="1"/>
  <c r="E49" i="1"/>
  <c r="E451" i="1"/>
  <c r="E10" i="1"/>
  <c r="E263" i="1"/>
  <c r="E383" i="1"/>
  <c r="E142" i="1"/>
  <c r="E109" i="1"/>
  <c r="E281" i="1"/>
  <c r="E265" i="1"/>
  <c r="E193" i="1"/>
  <c r="E273" i="1"/>
  <c r="E100" i="1"/>
  <c r="E396" i="1"/>
  <c r="E46" i="1"/>
  <c r="E332" i="1"/>
  <c r="E298" i="1"/>
  <c r="E374" i="1"/>
  <c r="E449" i="1"/>
  <c r="E217" i="1"/>
  <c r="E246" i="1"/>
  <c r="E162" i="1"/>
  <c r="E27" i="1"/>
  <c r="E497" i="1"/>
  <c r="E271" i="1"/>
  <c r="E122" i="1"/>
  <c r="E11" i="1"/>
  <c r="E209" i="1"/>
  <c r="E410" i="1"/>
  <c r="E24" i="1"/>
  <c r="E200" i="1"/>
  <c r="E3" i="1"/>
  <c r="E405" i="1"/>
  <c r="E300" i="1"/>
  <c r="E38" i="1"/>
  <c r="E79" i="1"/>
  <c r="E394" i="1"/>
  <c r="E106" i="1"/>
  <c r="E34" i="1"/>
  <c r="E361" i="1"/>
  <c r="E189" i="1"/>
  <c r="E435" i="1"/>
  <c r="E464" i="1"/>
  <c r="E465" i="1"/>
  <c r="E254" i="1"/>
  <c r="E403" i="1"/>
  <c r="E287" i="1"/>
  <c r="E87" i="1"/>
  <c r="E355" i="1"/>
  <c r="E5" i="1"/>
  <c r="E93" i="1"/>
  <c r="E326" i="1"/>
  <c r="E125" i="1"/>
  <c r="E42" i="1"/>
  <c r="E437" i="1"/>
  <c r="E233" i="1"/>
  <c r="E198" i="1"/>
  <c r="E138" i="1"/>
  <c r="E188" i="1"/>
  <c r="E322" i="1"/>
  <c r="E260" i="1"/>
  <c r="E187" i="1"/>
  <c r="E51" i="1"/>
  <c r="E425" i="1"/>
  <c r="E342" i="1"/>
  <c r="E469" i="1"/>
  <c r="E395" i="1"/>
  <c r="E319" i="1"/>
  <c r="E381" i="1"/>
  <c r="E323" i="1"/>
  <c r="E411" i="1"/>
  <c r="E452" i="1"/>
  <c r="E174" i="1"/>
  <c r="E471" i="1"/>
  <c r="E494" i="1"/>
  <c r="E236" i="1"/>
  <c r="E337" i="1"/>
  <c r="E416" i="1"/>
  <c r="E126" i="1"/>
  <c r="E180" i="1"/>
  <c r="E454" i="1"/>
  <c r="E21" i="1"/>
  <c r="E235" i="1"/>
  <c r="E443" i="1"/>
  <c r="E166" i="1"/>
  <c r="E470" i="1"/>
  <c r="E52" i="1"/>
  <c r="E44" i="1"/>
  <c r="E422" i="1"/>
  <c r="E500" i="1"/>
  <c r="E347" i="1"/>
  <c r="E360" i="1"/>
  <c r="E146" i="1"/>
  <c r="E318" i="1"/>
  <c r="E484" i="1"/>
  <c r="E412" i="1"/>
  <c r="E294" i="1"/>
  <c r="E377" i="1"/>
  <c r="E373" i="1"/>
  <c r="E356" i="1"/>
  <c r="E85" i="1"/>
  <c r="E279" i="1"/>
  <c r="E80" i="1"/>
  <c r="E483" i="1"/>
  <c r="E358" i="1"/>
  <c r="E445" i="1"/>
  <c r="E390" i="1"/>
  <c r="E199" i="1"/>
  <c r="E417" i="1"/>
  <c r="E463" i="1"/>
  <c r="E372" i="1"/>
  <c r="E222" i="1"/>
  <c r="E391" i="1"/>
  <c r="E186" i="1"/>
  <c r="E311" i="1"/>
  <c r="E36" i="1"/>
  <c r="E330" i="1"/>
  <c r="E278" i="1"/>
  <c r="E241" i="1"/>
  <c r="E89" i="1"/>
  <c r="E352" i="1"/>
  <c r="E478" i="1"/>
  <c r="E424" i="1"/>
  <c r="E320" i="1"/>
  <c r="E472" i="1"/>
  <c r="E57" i="1"/>
  <c r="E54" i="1"/>
  <c r="E293" i="1"/>
  <c r="E433" i="1"/>
  <c r="E99" i="1"/>
  <c r="E135" i="1"/>
  <c r="E50" i="1"/>
  <c r="E363" i="1"/>
  <c r="E448" i="1"/>
  <c r="E272" i="1"/>
  <c r="E385" i="1"/>
  <c r="E234" i="1"/>
  <c r="E344" i="1"/>
  <c r="E95" i="1"/>
  <c r="E321" i="1"/>
  <c r="E221" i="1"/>
  <c r="E156" i="1"/>
  <c r="E111" i="1"/>
  <c r="E439" i="1"/>
  <c r="E282" i="1"/>
  <c r="E117" i="1"/>
  <c r="E148" i="1"/>
  <c r="E139" i="1"/>
  <c r="E91" i="1"/>
  <c r="E136" i="1"/>
  <c r="E262" i="1"/>
  <c r="E249" i="1"/>
  <c r="E17" i="1"/>
  <c r="E324" i="1"/>
  <c r="E6" i="1"/>
  <c r="E266" i="1"/>
  <c r="E171" i="1"/>
  <c r="E212" i="1"/>
  <c r="E277" i="1"/>
  <c r="E252" i="1"/>
  <c r="E259" i="1"/>
  <c r="E305" i="1"/>
  <c r="E86" i="1"/>
  <c r="E418" i="1"/>
  <c r="E240" i="1"/>
  <c r="E306" i="1"/>
  <c r="E292" i="1"/>
  <c r="E404" i="1"/>
  <c r="E40" i="1"/>
  <c r="E65" i="1"/>
  <c r="E336" i="1"/>
  <c r="E362" i="1"/>
  <c r="E238" i="1"/>
  <c r="E31" i="1"/>
  <c r="E97" i="1"/>
  <c r="E149" i="1"/>
  <c r="E183" i="1"/>
  <c r="E191" i="1"/>
  <c r="E304" i="1"/>
  <c r="E68" i="1"/>
  <c r="E157" i="1"/>
  <c r="E88" i="1"/>
  <c r="E116" i="1"/>
  <c r="E407" i="1"/>
  <c r="E481" i="1"/>
  <c r="E329" i="1"/>
  <c r="E459" i="1"/>
  <c r="E229" i="1"/>
  <c r="E341" i="1"/>
  <c r="E181" i="1"/>
  <c r="E59" i="1"/>
  <c r="E316" i="1"/>
  <c r="E303" i="1"/>
  <c r="E58" i="1"/>
  <c r="E160" i="1"/>
  <c r="E366" i="1"/>
  <c r="E41" i="1"/>
  <c r="E496" i="1"/>
  <c r="E283" i="1"/>
  <c r="E447" i="1"/>
  <c r="E442" i="1"/>
  <c r="E107" i="1"/>
  <c r="E354" i="1"/>
  <c r="E455" i="1"/>
  <c r="E284" i="1"/>
  <c r="E74" i="1"/>
  <c r="E335" i="1"/>
  <c r="E414" i="1"/>
  <c r="E398" i="1"/>
  <c r="E207" i="1"/>
  <c r="E43" i="1"/>
  <c r="E420" i="1"/>
  <c r="E428" i="1"/>
  <c r="E123" i="1"/>
  <c r="E197" i="1"/>
  <c r="E458" i="1"/>
  <c r="E194" i="1"/>
  <c r="E486" i="1"/>
  <c r="E62" i="1"/>
  <c r="E498" i="1"/>
  <c r="E205" i="1"/>
  <c r="E182" i="1"/>
  <c r="E349" i="1"/>
  <c r="E28" i="1"/>
  <c r="E285" i="1"/>
  <c r="E7" i="1"/>
  <c r="E228" i="1"/>
  <c r="E444" i="1"/>
  <c r="E426" i="1"/>
  <c r="E164" i="1"/>
  <c r="E90" i="1"/>
  <c r="E98" i="1"/>
  <c r="E397" i="1"/>
  <c r="E402" i="1"/>
  <c r="E257" i="1"/>
  <c r="E211" i="1"/>
  <c r="E63" i="1"/>
  <c r="E84" i="1"/>
  <c r="E253" i="1"/>
  <c r="E134" i="1"/>
  <c r="E94" i="1"/>
  <c r="E226" i="1"/>
  <c r="E224" i="1"/>
  <c r="E102" i="1"/>
  <c r="E216" i="1"/>
  <c r="E441" i="1"/>
  <c r="E489" i="1"/>
  <c r="E357" i="1"/>
  <c r="E230" i="1"/>
  <c r="E450" i="1"/>
  <c r="E161" i="1"/>
  <c r="E462" i="1"/>
  <c r="E179" i="1"/>
  <c r="E473" i="1"/>
  <c r="E119" i="1"/>
  <c r="E274" i="1"/>
  <c r="E290" i="1"/>
  <c r="E456" i="1"/>
  <c r="E499" i="1"/>
  <c r="E239" i="1"/>
  <c r="E307" i="1"/>
  <c r="E150" i="1"/>
  <c r="E409" i="1"/>
  <c r="E45" i="1"/>
  <c r="E120" i="1"/>
  <c r="E350" i="1"/>
  <c r="E64" i="1"/>
  <c r="E423" i="1"/>
  <c r="E81" i="1"/>
  <c r="E264" i="1"/>
  <c r="E346" i="1"/>
  <c r="E419" i="1"/>
  <c r="E208" i="1"/>
  <c r="E295" i="1"/>
  <c r="E36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669CAE-913B-4BA5-BF83-EFA28075E18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A27D2A7-CE55-440E-AED2-BE65916A6B69}" name="WorksheetConnection_chart.xlsx!Table1" type="102" refreshedVersion="8" minRefreshableVersion="5">
    <extLst>
      <ext xmlns:x15="http://schemas.microsoft.com/office/spreadsheetml/2010/11/main" uri="{DE250136-89BD-433C-8126-D09CA5730AF9}">
        <x15:connection id="Table1" autoDelete="1">
          <x15:rangePr sourceName="_xlcn.WorksheetConnection_chart.xlsxTable1"/>
        </x15:connection>
      </ext>
    </extLst>
  </connection>
  <connection id="3" xr16:uid="{3B0F1A26-3D61-4057-A61D-E1E002ED34A6}" name="WorksheetConnection_chart.xlsx!Table3" type="102" refreshedVersion="8" minRefreshableVersion="5">
    <extLst>
      <ext xmlns:x15="http://schemas.microsoft.com/office/spreadsheetml/2010/11/main" uri="{DE250136-89BD-433C-8126-D09CA5730AF9}">
        <x15:connection id="Table3">
          <x15:rangePr sourceName="_xlcn.WorksheetConnection_chart.xlsxTable3"/>
        </x15:connection>
      </ext>
    </extLst>
  </connection>
</connections>
</file>

<file path=xl/sharedStrings.xml><?xml version="1.0" encoding="utf-8"?>
<sst xmlns="http://schemas.openxmlformats.org/spreadsheetml/2006/main" count="29" uniqueCount="22">
  <si>
    <t>Order Date</t>
  </si>
  <si>
    <t>Material Code</t>
  </si>
  <si>
    <t>Order Value (PLN)</t>
  </si>
  <si>
    <t>Delay Hours</t>
  </si>
  <si>
    <t>Financial Loss (PLN)</t>
  </si>
  <si>
    <t>Row Labels</t>
  </si>
  <si>
    <t>Steel</t>
  </si>
  <si>
    <t>Grand Total</t>
  </si>
  <si>
    <t>Sum of Financial Loss (PLN)</t>
  </si>
  <si>
    <t>Count of Days (Order Date)</t>
  </si>
  <si>
    <t>Chemicals</t>
  </si>
  <si>
    <t>Packaging</t>
  </si>
  <si>
    <t>Plastic</t>
  </si>
  <si>
    <t>Savings (PLN)</t>
  </si>
  <si>
    <t>Reduction (%)</t>
  </si>
  <si>
    <t>Expected reduction in losses (%)</t>
  </si>
  <si>
    <t>June</t>
  </si>
  <si>
    <t>July</t>
  </si>
  <si>
    <t>August</t>
  </si>
  <si>
    <t>September</t>
  </si>
  <si>
    <t>October</t>
  </si>
  <si>
    <t>Мay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</si>
</sst>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charset val="204"/>
      <scheme val="minor"/>
    </font>
    <font>
      <sz val="11"/>
      <color theme="1"/>
      <name val="Aptos Narrow"/>
      <family val="2"/>
      <charset val="204"/>
      <scheme val="minor"/>
    </font>
    <font>
      <b/>
      <sz val="11"/>
      <color rgb="FF3F3F3F"/>
      <name val="Aptos Narrow"/>
      <family val="2"/>
      <charset val="204"/>
      <scheme val="minor"/>
    </font>
    <font>
      <i/>
      <sz val="11"/>
      <color rgb="FF7F7F7F"/>
      <name val="Aptos Narrow"/>
      <family val="2"/>
      <charset val="204"/>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indexed="65"/>
      </patternFill>
    </fill>
    <fill>
      <patternFill patternType="solid">
        <fgColor rgb="FFF2F2F2"/>
      </patternFill>
    </fill>
  </fills>
  <borders count="10">
    <border>
      <left/>
      <right/>
      <top/>
      <bottom/>
      <diagonal/>
    </border>
    <border>
      <left style="thin">
        <color rgb="FF3F3F3F"/>
      </left>
      <right style="thin">
        <color rgb="FF3F3F3F"/>
      </right>
      <top style="thin">
        <color rgb="FF3F3F3F"/>
      </top>
      <bottom style="thin">
        <color rgb="FF3F3F3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0" fontId="1" fillId="2" borderId="0" applyNumberFormat="0" applyBorder="0" applyAlignment="0" applyProtection="0"/>
    <xf numFmtId="0" fontId="2" fillId="3" borderId="1" applyNumberFormat="0" applyAlignment="0" applyProtection="0"/>
    <xf numFmtId="0" fontId="3" fillId="0" borderId="0" applyNumberFormat="0" applyFill="0" applyBorder="0" applyAlignment="0" applyProtection="0"/>
  </cellStyleXfs>
  <cellXfs count="25">
    <xf numFmtId="0" fontId="0" fillId="0" borderId="0" xfId="0"/>
    <xf numFmtId="0" fontId="0" fillId="0" borderId="0" xfId="0" applyAlignme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2" borderId="0" xfId="1"/>
    <xf numFmtId="0" fontId="4" fillId="2" borderId="0" xfId="1" applyFont="1" applyBorder="1" applyAlignment="1">
      <alignment horizontal="left" vertical="center"/>
    </xf>
    <xf numFmtId="0" fontId="4" fillId="2" borderId="0" xfId="1" applyFont="1" applyBorder="1"/>
    <xf numFmtId="0" fontId="2" fillId="3" borderId="1" xfId="2" applyNumberFormat="1"/>
    <xf numFmtId="0" fontId="3" fillId="3" borderId="1" xfId="3" applyNumberFormat="1" applyFill="1" applyBorder="1"/>
    <xf numFmtId="0" fontId="1" fillId="2" borderId="2" xfId="1" applyBorder="1"/>
    <xf numFmtId="0" fontId="4" fillId="2" borderId="3" xfId="1" applyFont="1" applyBorder="1" applyAlignment="1">
      <alignment horizontal="left" vertical="center"/>
    </xf>
    <xf numFmtId="0" fontId="1" fillId="2" borderId="3" xfId="1" applyBorder="1"/>
    <xf numFmtId="0" fontId="1" fillId="2" borderId="4" xfId="1" applyBorder="1"/>
    <xf numFmtId="0" fontId="4" fillId="2" borderId="5" xfId="1" applyFont="1" applyBorder="1" applyAlignment="1">
      <alignment horizontal="left" vertical="center"/>
    </xf>
    <xf numFmtId="0" fontId="1" fillId="2" borderId="6" xfId="1" applyBorder="1"/>
    <xf numFmtId="0" fontId="1" fillId="2" borderId="7" xfId="1" applyBorder="1"/>
    <xf numFmtId="0" fontId="1" fillId="2" borderId="8" xfId="1" applyBorder="1"/>
    <xf numFmtId="0" fontId="4" fillId="2" borderId="8" xfId="1" applyFont="1" applyBorder="1"/>
    <xf numFmtId="0" fontId="1" fillId="2" borderId="9" xfId="1" applyBorder="1"/>
    <xf numFmtId="17" fontId="0" fillId="0" borderId="0" xfId="0" applyNumberFormat="1"/>
    <xf numFmtId="17" fontId="0" fillId="0" borderId="0" xfId="0" applyNumberFormat="1" applyAlignment="1">
      <alignment horizontal="left"/>
    </xf>
    <xf numFmtId="9" fontId="2" fillId="3" borderId="1" xfId="2" applyNumberFormat="1" applyProtection="1">
      <protection locked="0"/>
    </xf>
    <xf numFmtId="0" fontId="2" fillId="3" borderId="1" xfId="2" applyNumberFormat="1" applyBorder="1" applyProtection="1"/>
  </cellXfs>
  <cellStyles count="4">
    <cellStyle name="20% - Accent1" xfId="1" builtinId="30"/>
    <cellStyle name="Explanatory Text" xfId="3" builtinId="53"/>
    <cellStyle name="Normal" xfId="0" builtinId="0"/>
    <cellStyle name="Output" xfId="2" builtinId="21"/>
  </cellStyles>
  <dxfs count="2">
    <dxf>
      <numFmt numFmtId="19" formatCode="dd/mm/yyyy"/>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[Financial_Loss_Dashboard_EN.xlsx]Analysis!PivotTable1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ysClr val="windowText" lastClr="000000">
                    <a:lumMod val="65000"/>
                    <a:lumOff val="35000"/>
                  </a:sysClr>
                </a:solidFill>
              </a:rPr>
              <a:t>Financial Loss by </a:t>
            </a:r>
            <a:r>
              <a:rPr lang="en-US" sz="1200" b="1"/>
              <a:t>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Analysis!$B$1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9D-4939-81FF-14328C40D0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F9-4A4E-8F78-6C1A1982F0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F9-4A4E-8F78-6C1A1982F0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CF9-4A4E-8F78-6C1A1982F080}"/>
              </c:ext>
            </c:extLst>
          </c:dPt>
          <c:cat>
            <c:strRef>
              <c:f>Analysis!$A$2:$A$6</c:f>
              <c:strCache>
                <c:ptCount val="4"/>
                <c:pt idx="0">
                  <c:v>Chemicals</c:v>
                </c:pt>
                <c:pt idx="1">
                  <c:v>Packaging</c:v>
                </c:pt>
                <c:pt idx="2">
                  <c:v>Plastic</c:v>
                </c:pt>
                <c:pt idx="3">
                  <c:v>Steel</c:v>
                </c:pt>
              </c:strCache>
            </c:strRef>
          </c:cat>
          <c:val>
            <c:numRef>
              <c:f>Analysis!$B$2:$B$6</c:f>
              <c:numCache>
                <c:formatCode>General</c:formatCode>
                <c:ptCount val="4"/>
                <c:pt idx="0">
                  <c:v>30864.9</c:v>
                </c:pt>
                <c:pt idx="1">
                  <c:v>41017.200000000019</c:v>
                </c:pt>
                <c:pt idx="2">
                  <c:v>35569.800000000003</c:v>
                </c:pt>
                <c:pt idx="3">
                  <c:v>33098.75</c:v>
                </c:pt>
              </c:numCache>
            </c:numRef>
          </c:val>
          <c:extLst>
            <c:ext xmlns:c16="http://schemas.microsoft.com/office/drawing/2014/chart" uri="{C3380CC4-5D6E-409C-BE32-E72D297353CC}">
              <c16:uniqueId val="{00000000-4290-4F6B-AE7D-36ECB651B97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w="0">
          <a:solidFill>
            <a:schemeClr val="accent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[Financial_Loss_Dashboard_EN.xlsx]Analysis!PivotTable4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a:t>
            </a:r>
            <a:r>
              <a:rPr lang="en-US" b="1" baseline="0"/>
              <a:t> of Days With Delay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Analysis!$B$16</c:f>
              <c:strCache>
                <c:ptCount val="1"/>
                <c:pt idx="0">
                  <c:v>Total</c:v>
                </c:pt>
              </c:strCache>
            </c:strRef>
          </c:tx>
          <c:spPr>
            <a:solidFill>
              <a:schemeClr val="accent1"/>
            </a:solidFill>
            <a:ln>
              <a:noFill/>
            </a:ln>
            <a:effectLst/>
          </c:spPr>
          <c:invertIfNegative val="0"/>
          <c:cat>
            <c:strRef>
              <c:f>Analysis!$A$17:$A$27</c:f>
              <c:strCache>
                <c:ptCount val="10"/>
                <c:pt idx="0">
                  <c:v>6</c:v>
                </c:pt>
                <c:pt idx="1">
                  <c:v>7</c:v>
                </c:pt>
                <c:pt idx="2">
                  <c:v>5</c:v>
                </c:pt>
                <c:pt idx="3">
                  <c:v>10</c:v>
                </c:pt>
                <c:pt idx="4">
                  <c:v>2</c:v>
                </c:pt>
                <c:pt idx="5">
                  <c:v>8</c:v>
                </c:pt>
                <c:pt idx="6">
                  <c:v>4</c:v>
                </c:pt>
                <c:pt idx="7">
                  <c:v>3</c:v>
                </c:pt>
                <c:pt idx="8">
                  <c:v>1</c:v>
                </c:pt>
                <c:pt idx="9">
                  <c:v>9</c:v>
                </c:pt>
              </c:strCache>
            </c:strRef>
          </c:cat>
          <c:val>
            <c:numRef>
              <c:f>Analysis!$B$17:$B$27</c:f>
              <c:numCache>
                <c:formatCode>General</c:formatCode>
                <c:ptCount val="10"/>
                <c:pt idx="0">
                  <c:v>12</c:v>
                </c:pt>
                <c:pt idx="1">
                  <c:v>13</c:v>
                </c:pt>
                <c:pt idx="2">
                  <c:v>16</c:v>
                </c:pt>
                <c:pt idx="3">
                  <c:v>16</c:v>
                </c:pt>
                <c:pt idx="4">
                  <c:v>16</c:v>
                </c:pt>
                <c:pt idx="5">
                  <c:v>16</c:v>
                </c:pt>
                <c:pt idx="6">
                  <c:v>17</c:v>
                </c:pt>
                <c:pt idx="7">
                  <c:v>17</c:v>
                </c:pt>
                <c:pt idx="8">
                  <c:v>20</c:v>
                </c:pt>
                <c:pt idx="9">
                  <c:v>23</c:v>
                </c:pt>
              </c:numCache>
            </c:numRef>
          </c:val>
          <c:extLst>
            <c:ext xmlns:c16="http://schemas.microsoft.com/office/drawing/2014/chart" uri="{C3380CC4-5D6E-409C-BE32-E72D297353CC}">
              <c16:uniqueId val="{00000000-9FBD-40A2-904E-2E8FEF9336E9}"/>
            </c:ext>
          </c:extLst>
        </c:ser>
        <c:dLbls>
          <c:showLegendKey val="0"/>
          <c:showVal val="0"/>
          <c:showCatName val="0"/>
          <c:showSerName val="0"/>
          <c:showPercent val="0"/>
          <c:showBubbleSize val="0"/>
        </c:dLbls>
        <c:gapWidth val="219"/>
        <c:overlap val="-27"/>
        <c:axId val="268379471"/>
        <c:axId val="268381871"/>
      </c:barChart>
      <c:catAx>
        <c:axId val="26837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381871"/>
        <c:crosses val="autoZero"/>
        <c:auto val="1"/>
        <c:lblAlgn val="ctr"/>
        <c:lblOffset val="100"/>
        <c:noMultiLvlLbl val="0"/>
      </c:catAx>
      <c:valAx>
        <c:axId val="268381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379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[Financial_Loss_Dashboard_EN.xlsx]Analysis!PivotTable2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Financial</a:t>
            </a:r>
            <a:r>
              <a:rPr lang="en-US" b="1" baseline="0"/>
              <a:t> Loss by </a:t>
            </a:r>
            <a:r>
              <a:rPr lang="en-US" sz="1400" b="1" i="0" u="none" strike="noStrike" baseline="0"/>
              <a:t>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Analysis!$B$8</c:f>
              <c:strCache>
                <c:ptCount val="1"/>
                <c:pt idx="0">
                  <c:v>Total</c:v>
                </c:pt>
              </c:strCache>
            </c:strRef>
          </c:tx>
          <c:spPr>
            <a:ln w="28575" cap="rnd">
              <a:solidFill>
                <a:schemeClr val="accent1"/>
              </a:solidFill>
              <a:round/>
            </a:ln>
            <a:effectLst/>
          </c:spPr>
          <c:marker>
            <c:symbol val="none"/>
          </c:marker>
          <c:cat>
            <c:strRef>
              <c:f>Analysis!$A$9:$A$15</c:f>
              <c:strCache>
                <c:ptCount val="6"/>
                <c:pt idx="0">
                  <c:v>Мay</c:v>
                </c:pt>
                <c:pt idx="1">
                  <c:v>June</c:v>
                </c:pt>
                <c:pt idx="2">
                  <c:v>July</c:v>
                </c:pt>
                <c:pt idx="3">
                  <c:v>August</c:v>
                </c:pt>
                <c:pt idx="4">
                  <c:v>September</c:v>
                </c:pt>
                <c:pt idx="5">
                  <c:v>October</c:v>
                </c:pt>
              </c:strCache>
            </c:strRef>
          </c:cat>
          <c:val>
            <c:numRef>
              <c:f>Analysis!$B$9:$B$15</c:f>
              <c:numCache>
                <c:formatCode>General</c:formatCode>
                <c:ptCount val="6"/>
                <c:pt idx="0">
                  <c:v>22659.599999999999</c:v>
                </c:pt>
                <c:pt idx="1">
                  <c:v>28937.65</c:v>
                </c:pt>
                <c:pt idx="2">
                  <c:v>19997.200000000004</c:v>
                </c:pt>
                <c:pt idx="3">
                  <c:v>20394.950000000004</c:v>
                </c:pt>
                <c:pt idx="4">
                  <c:v>22026</c:v>
                </c:pt>
                <c:pt idx="5">
                  <c:v>24858.899999999994</c:v>
                </c:pt>
              </c:numCache>
            </c:numRef>
          </c:val>
          <c:smooth val="0"/>
          <c:extLst>
            <c:ext xmlns:c16="http://schemas.microsoft.com/office/drawing/2014/chart" uri="{C3380CC4-5D6E-409C-BE32-E72D297353CC}">
              <c16:uniqueId val="{00000002-D247-400B-A8F4-349BBA729ADB}"/>
            </c:ext>
          </c:extLst>
        </c:ser>
        <c:dLbls>
          <c:showLegendKey val="0"/>
          <c:showVal val="0"/>
          <c:showCatName val="0"/>
          <c:showSerName val="0"/>
          <c:showPercent val="0"/>
          <c:showBubbleSize val="0"/>
        </c:dLbls>
        <c:smooth val="0"/>
        <c:axId val="89809904"/>
        <c:axId val="89807984"/>
      </c:lineChart>
      <c:catAx>
        <c:axId val="8980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07984"/>
        <c:crosses val="autoZero"/>
        <c:auto val="1"/>
        <c:lblAlgn val="ctr"/>
        <c:lblOffset val="100"/>
        <c:noMultiLvlLbl val="0"/>
      </c:catAx>
      <c:valAx>
        <c:axId val="8980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09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190500</xdr:rowOff>
    </xdr:from>
    <xdr:to>
      <xdr:col>6</xdr:col>
      <xdr:colOff>9525</xdr:colOff>
      <xdr:row>42</xdr:row>
      <xdr:rowOff>0</xdr:rowOff>
    </xdr:to>
    <xdr:graphicFrame macro="">
      <xdr:nvGraphicFramePr>
        <xdr:cNvPr id="2" name="Chart 1">
          <a:extLst>
            <a:ext uri="{FF2B5EF4-FFF2-40B4-BE49-F238E27FC236}">
              <a16:creationId xmlns:a16="http://schemas.microsoft.com/office/drawing/2014/main" id="{D6DA2735-9F2B-3BC0-E9D0-880969304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xdr:colOff>
      <xdr:row>21</xdr:row>
      <xdr:rowOff>9524</xdr:rowOff>
    </xdr:from>
    <xdr:to>
      <xdr:col>17</xdr:col>
      <xdr:colOff>9525</xdr:colOff>
      <xdr:row>41</xdr:row>
      <xdr:rowOff>190499</xdr:rowOff>
    </xdr:to>
    <xdr:graphicFrame macro="">
      <xdr:nvGraphicFramePr>
        <xdr:cNvPr id="4" name="Chart 3">
          <a:extLst>
            <a:ext uri="{FF2B5EF4-FFF2-40B4-BE49-F238E27FC236}">
              <a16:creationId xmlns:a16="http://schemas.microsoft.com/office/drawing/2014/main" id="{44DBDA56-8519-7830-5A9E-7032BC0578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1</xdr:colOff>
      <xdr:row>0</xdr:row>
      <xdr:rowOff>0</xdr:rowOff>
    </xdr:from>
    <xdr:to>
      <xdr:col>5</xdr:col>
      <xdr:colOff>78442</xdr:colOff>
      <xdr:row>14</xdr:row>
      <xdr:rowOff>0</xdr:rowOff>
    </xdr:to>
    <mc:AlternateContent xmlns:mc="http://schemas.openxmlformats.org/markup-compatibility/2006">
      <mc:Choice xmlns:a14="http://schemas.microsoft.com/office/drawing/2010/main" Requires="a14">
        <xdr:graphicFrame macro="">
          <xdr:nvGraphicFramePr>
            <xdr:cNvPr id="5" name="Material Code">
              <a:extLst>
                <a:ext uri="{FF2B5EF4-FFF2-40B4-BE49-F238E27FC236}">
                  <a16:creationId xmlns:a16="http://schemas.microsoft.com/office/drawing/2014/main" id="{E048903C-4341-B3FD-42B5-CA779A5B4CE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aterial Code"/>
            </a:graphicData>
          </a:graphic>
        </xdr:graphicFrame>
      </mc:Choice>
      <mc:Fallback>
        <xdr:sp macro="" textlink="">
          <xdr:nvSpPr>
            <xdr:cNvPr id="0" name=""/>
            <xdr:cNvSpPr>
              <a:spLocks noTextEdit="1"/>
            </xdr:cNvSpPr>
          </xdr:nvSpPr>
          <xdr:spPr>
            <a:xfrm>
              <a:off x="1" y="0"/>
              <a:ext cx="3668633" cy="26743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5</xdr:col>
      <xdr:colOff>76199</xdr:colOff>
      <xdr:row>0</xdr:row>
      <xdr:rowOff>0</xdr:rowOff>
    </xdr:from>
    <xdr:to>
      <xdr:col>16</xdr:col>
      <xdr:colOff>600074</xdr:colOff>
      <xdr:row>21</xdr:row>
      <xdr:rowOff>19050</xdr:rowOff>
    </xdr:to>
    <xdr:graphicFrame macro="">
      <xdr:nvGraphicFramePr>
        <xdr:cNvPr id="7" name="Chart 6">
          <a:extLst>
            <a:ext uri="{FF2B5EF4-FFF2-40B4-BE49-F238E27FC236}">
              <a16:creationId xmlns:a16="http://schemas.microsoft.com/office/drawing/2014/main" id="{7E8EDAD8-D5AF-B0B6-AB44-581B29ED6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eatLove" refreshedDate="45964.526672569446" createdVersion="8" refreshedVersion="8" minRefreshableVersion="3" recordCount="501" xr:uid="{62C0EB26-B0D0-4365-9768-717A0B6A6109}">
  <cacheSource type="worksheet">
    <worksheetSource name="Table1"/>
  </cacheSource>
  <cacheFields count="7">
    <cacheField name="Order Date" numFmtId="14">
      <sharedItems containsSemiMixedTypes="0" containsNonDate="0" containsDate="1" containsString="0" minDate="2025-05-06T00:00:00" maxDate="2026-01-02T00:00:00" count="183">
        <d v="2025-09-27T00:00:00"/>
        <d v="2025-06-11T00:00:00"/>
        <d v="2025-09-18T00:00:00"/>
        <d v="2025-06-07T00:00:00"/>
        <d v="2025-06-14T00:00:00"/>
        <d v="2025-10-25T00:00:00"/>
        <d v="2025-09-11T00:00:00"/>
        <d v="2025-05-14T00:00:00"/>
        <d v="2025-06-19T00:00:00"/>
        <d v="2025-09-05T00:00:00"/>
        <d v="2025-09-02T00:00:00"/>
        <d v="2025-10-16T00:00:00"/>
        <d v="2025-09-07T00:00:00"/>
        <d v="2025-08-09T00:00:00"/>
        <d v="2025-09-14T00:00:00"/>
        <d v="2025-08-22T00:00:00"/>
        <d v="2025-08-14T00:00:00"/>
        <d v="2025-07-06T00:00:00"/>
        <d v="2025-08-28T00:00:00"/>
        <d v="2025-08-01T00:00:00"/>
        <d v="2025-10-11T00:00:00"/>
        <d v="2025-10-22T00:00:00"/>
        <d v="2025-06-30T00:00:00"/>
        <d v="2025-06-04T00:00:00"/>
        <d v="2025-08-23T00:00:00"/>
        <d v="2025-08-12T00:00:00"/>
        <d v="2025-07-26T00:00:00"/>
        <d v="2025-08-16T00:00:00"/>
        <d v="2025-05-12T00:00:00"/>
        <d v="2025-09-10T00:00:00"/>
        <d v="2025-10-05T00:00:00"/>
        <d v="2025-08-18T00:00:00"/>
        <d v="2025-06-23T00:00:00"/>
        <d v="2025-05-17T00:00:00"/>
        <d v="2025-10-31T00:00:00"/>
        <d v="2025-09-08T00:00:00"/>
        <d v="2025-07-18T00:00:00"/>
        <d v="2025-05-13T00:00:00"/>
        <d v="2025-07-14T00:00:00"/>
        <d v="2025-06-03T00:00:00"/>
        <d v="2025-11-02T00:00:00"/>
        <d v="2025-06-18T00:00:00"/>
        <d v="2025-07-25T00:00:00"/>
        <d v="2025-08-07T00:00:00"/>
        <d v="2025-07-13T00:00:00"/>
        <d v="2025-07-05T00:00:00"/>
        <d v="2025-07-19T00:00:00"/>
        <d v="2025-08-26T00:00:00"/>
        <d v="2025-07-23T00:00:00"/>
        <d v="2025-06-26T00:00:00"/>
        <d v="2025-07-10T00:00:00"/>
        <d v="2025-08-06T00:00:00"/>
        <d v="2025-10-07T00:00:00"/>
        <d v="2025-06-15T00:00:00"/>
        <d v="2025-07-15T00:00:00"/>
        <d v="2025-10-26T00:00:00"/>
        <d v="2025-10-14T00:00:00"/>
        <d v="2025-05-09T00:00:00"/>
        <d v="2025-08-04T00:00:00"/>
        <d v="2025-10-13T00:00:00"/>
        <d v="2025-10-08T00:00:00"/>
        <d v="2025-06-08T00:00:00"/>
        <d v="2025-07-08T00:00:00"/>
        <d v="2025-05-19T00:00:00"/>
        <d v="2025-07-03T00:00:00"/>
        <d v="2025-09-28T00:00:00"/>
        <d v="2025-08-05T00:00:00"/>
        <d v="2025-10-06T00:00:00"/>
        <d v="2025-08-30T00:00:00"/>
        <d v="2025-10-20T00:00:00"/>
        <d v="2025-08-27T00:00:00"/>
        <d v="2025-09-22T00:00:00"/>
        <d v="2025-08-17T00:00:00"/>
        <d v="2025-05-07T00:00:00"/>
        <d v="2025-07-01T00:00:00"/>
        <d v="2025-10-29T00:00:00"/>
        <d v="2025-06-02T00:00:00"/>
        <d v="2025-07-20T00:00:00"/>
        <d v="2025-07-04T00:00:00"/>
        <d v="2025-06-10T00:00:00"/>
        <d v="2025-05-21T00:00:00"/>
        <d v="2025-10-17T00:00:00"/>
        <d v="2025-08-29T00:00:00"/>
        <d v="2025-09-09T00:00:00"/>
        <d v="2025-07-28T00:00:00"/>
        <d v="2025-07-11T00:00:00"/>
        <d v="2025-06-22T00:00:00"/>
        <d v="2025-08-02T00:00:00"/>
        <d v="2025-10-02T00:00:00"/>
        <d v="2025-05-27T00:00:00"/>
        <d v="2025-09-06T00:00:00"/>
        <d v="2025-07-24T00:00:00"/>
        <d v="2025-11-01T00:00:00"/>
        <d v="2025-09-29T00:00:00"/>
        <d v="2025-05-18T00:00:00"/>
        <d v="2025-06-25T00:00:00"/>
        <d v="2025-07-21T00:00:00"/>
        <d v="2025-05-15T00:00:00"/>
        <d v="2025-05-22T00:00:00"/>
        <d v="2025-05-30T00:00:00"/>
        <d v="2025-08-13T00:00:00"/>
        <d v="2025-06-06T00:00:00"/>
        <d v="2025-05-10T00:00:00"/>
        <d v="2025-05-11T00:00:00"/>
        <d v="2025-10-24T00:00:00"/>
        <d v="2025-07-31T00:00:00"/>
        <d v="2025-06-27T00:00:00"/>
        <d v="2025-09-12T00:00:00"/>
        <d v="2025-05-16T00:00:00"/>
        <d v="2025-07-09T00:00:00"/>
        <d v="2025-09-16T00:00:00"/>
        <d v="2025-06-01T00:00:00"/>
        <d v="2025-09-20T00:00:00"/>
        <d v="2025-08-25T00:00:00"/>
        <d v="2025-10-21T00:00:00"/>
        <d v="2025-10-01T00:00:00"/>
        <d v="2025-06-21T00:00:00"/>
        <d v="2025-07-02T00:00:00"/>
        <d v="2025-05-29T00:00:00"/>
        <d v="2025-09-21T00:00:00"/>
        <d v="2025-09-17T00:00:00"/>
        <d v="2025-09-25T00:00:00"/>
        <d v="2025-10-09T00:00:00"/>
        <d v="2025-09-15T00:00:00"/>
        <d v="2025-08-19T00:00:00"/>
        <d v="2025-08-10T00:00:00"/>
        <d v="2025-05-20T00:00:00"/>
        <d v="2025-05-23T00:00:00"/>
        <d v="2025-07-16T00:00:00"/>
        <d v="2025-10-18T00:00:00"/>
        <d v="2025-08-24T00:00:00"/>
        <d v="2025-07-07T00:00:00"/>
        <d v="2025-10-27T00:00:00"/>
        <d v="2025-09-04T00:00:00"/>
        <d v="2025-06-05T00:00:00"/>
        <d v="2025-05-31T00:00:00"/>
        <d v="2025-08-20T00:00:00"/>
        <d v="2025-05-24T00:00:00"/>
        <d v="2025-06-13T00:00:00"/>
        <d v="2025-10-28T00:00:00"/>
        <d v="2025-10-03T00:00:00"/>
        <d v="2025-08-08T00:00:00"/>
        <d v="2025-07-30T00:00:00"/>
        <d v="2025-06-16T00:00:00"/>
        <d v="2025-08-11T00:00:00"/>
        <d v="2025-05-28T00:00:00"/>
        <d v="2025-09-24T00:00:00"/>
        <d v="2025-06-12T00:00:00"/>
        <d v="2025-05-25T00:00:00"/>
        <d v="2025-09-26T00:00:00"/>
        <d v="2025-06-29T00:00:00"/>
        <d v="2025-05-26T00:00:00"/>
        <d v="2025-06-28T00:00:00"/>
        <d v="2025-10-23T00:00:00"/>
        <d v="2025-09-23T00:00:00"/>
        <d v="2025-08-15T00:00:00"/>
        <d v="2025-06-17T00:00:00"/>
        <d v="2025-07-29T00:00:00"/>
        <d v="2025-10-15T00:00:00"/>
        <d v="2025-10-30T00:00:00"/>
        <d v="2025-10-12T00:00:00"/>
        <d v="2025-07-12T00:00:00"/>
        <d v="2025-09-30T00:00:00"/>
        <d v="2025-12-01T00:00:00"/>
        <d v="2026-01-01T00:00:00"/>
        <d v="2025-09-13T00:00:00" u="1"/>
        <d v="2025-10-19T00:00:00" u="1"/>
        <d v="2025-07-17T00:00:00" u="1"/>
        <d v="2025-08-31T00:00:00" u="1"/>
        <d v="2025-07-22T00:00:00" u="1"/>
        <d v="2025-09-01T00:00:00" u="1"/>
        <d v="2025-09-19T00:00:00" u="1"/>
        <d v="2025-10-10T00:00:00" u="1"/>
        <d v="2025-09-03T00:00:00" u="1"/>
        <d v="2025-06-24T00:00:00" u="1"/>
        <d v="2025-08-03T00:00:00" u="1"/>
        <d v="2025-06-20T00:00:00" u="1"/>
        <d v="2025-05-08T00:00:00" u="1"/>
        <d v="2025-10-04T00:00:00" u="1"/>
        <d v="2025-08-21T00:00:00" u="1"/>
        <d v="2025-07-27T00:00:00" u="1"/>
        <d v="2025-06-09T00:00:00" u="1"/>
        <d v="2025-05-06T00:00:00" u="1"/>
      </sharedItems>
      <fieldGroup par="6"/>
    </cacheField>
    <cacheField name="Material Code" numFmtId="0">
      <sharedItems count="4">
        <s v="Steel"/>
        <s v="Packaging"/>
        <s v="Chemicals"/>
        <s v="Plastic"/>
      </sharedItems>
    </cacheField>
    <cacheField name="Order Value (PLN)" numFmtId="0">
      <sharedItems containsSemiMixedTypes="0" containsString="0" containsNumber="1" containsInteger="1" minValue="0" maxValue="4996"/>
    </cacheField>
    <cacheField name="Delay Hours" numFmtId="0">
      <sharedItems containsSemiMixedTypes="0" containsString="0" containsNumber="1" containsInteger="1" minValue="0" maxValue="10" count="11">
        <n v="7"/>
        <n v="0"/>
        <n v="2"/>
        <n v="6"/>
        <n v="9"/>
        <n v="4"/>
        <n v="10"/>
        <n v="5"/>
        <n v="1"/>
        <n v="8"/>
        <n v="3"/>
      </sharedItems>
    </cacheField>
    <cacheField name="Financial Loss (PLN)" numFmtId="0">
      <sharedItems containsSemiMixedTypes="0" containsString="0" containsNumber="1" minValue="0" maxValue="2488.5"/>
    </cacheField>
    <cacheField name="Days (Order Date)" numFmtId="0" databaseField="0">
      <fieldGroup base="0">
        <rangePr groupBy="days" startDate="2025-05-07T00:00:00" endDate="2026-01-02T00:00:00"/>
        <groupItems count="368">
          <s v="&lt;07.05.2025"/>
          <s v="01.янв"/>
          <s v="02.янв"/>
          <s v="03.янв"/>
          <s v="04.янв"/>
          <s v="05.янв"/>
          <s v="06.янв"/>
          <s v="07.янв"/>
          <s v="08.янв"/>
          <s v="09.янв"/>
          <s v="10.янв"/>
          <s v="11.янв"/>
          <s v="12.янв"/>
          <s v="13.янв"/>
          <s v="14.янв"/>
          <s v="15.янв"/>
          <s v="16.янв"/>
          <s v="17.янв"/>
          <s v="18.янв"/>
          <s v="19.янв"/>
          <s v="20.янв"/>
          <s v="21.янв"/>
          <s v="22.янв"/>
          <s v="23.янв"/>
          <s v="24.янв"/>
          <s v="25.янв"/>
          <s v="26.янв"/>
          <s v="27.янв"/>
          <s v="28.янв"/>
          <s v="29.янв"/>
          <s v="30.янв"/>
          <s v="31.янв"/>
          <s v="01.фев"/>
          <s v="02.фев"/>
          <s v="03.фев"/>
          <s v="04.фев"/>
          <s v="05.фев"/>
          <s v="06.фев"/>
          <s v="07.фев"/>
          <s v="08.фев"/>
          <s v="09.фев"/>
          <s v="10.фев"/>
          <s v="11.фев"/>
          <s v="12.фев"/>
          <s v="13.фев"/>
          <s v="14.фев"/>
          <s v="15.фев"/>
          <s v="16.фев"/>
          <s v="17.фев"/>
          <s v="18.фев"/>
          <s v="19.фев"/>
          <s v="20.фев"/>
          <s v="21.фев"/>
          <s v="22.фев"/>
          <s v="23.фев"/>
          <s v="24.фев"/>
          <s v="25.фев"/>
          <s v="26.фев"/>
          <s v="27.фев"/>
          <s v="28.фев"/>
          <s v="29.фев"/>
          <s v="01.мар"/>
          <s v="02.мар"/>
          <s v="03.мар"/>
          <s v="04.мар"/>
          <s v="05.мар"/>
          <s v="06.мар"/>
          <s v="07.мар"/>
          <s v="08.мар"/>
          <s v="09.мар"/>
          <s v="10.мар"/>
          <s v="11.мар"/>
          <s v="12.мар"/>
          <s v="13.мар"/>
          <s v="14.мар"/>
          <s v="15.мар"/>
          <s v="16.мар"/>
          <s v="17.мар"/>
          <s v="18.мар"/>
          <s v="19.мар"/>
          <s v="20.мар"/>
          <s v="21.мар"/>
          <s v="22.мар"/>
          <s v="23.мар"/>
          <s v="24.мар"/>
          <s v="25.мар"/>
          <s v="26.мар"/>
          <s v="27.мар"/>
          <s v="28.мар"/>
          <s v="29.мар"/>
          <s v="30.мар"/>
          <s v="31.мар"/>
          <s v="01.апр"/>
          <s v="02.апр"/>
          <s v="03.апр"/>
          <s v="04.апр"/>
          <s v="05.апр"/>
          <s v="06.апр"/>
          <s v="07.апр"/>
          <s v="08.апр"/>
          <s v="09.апр"/>
          <s v="10.апр"/>
          <s v="11.апр"/>
          <s v="12.апр"/>
          <s v="13.апр"/>
          <s v="14.апр"/>
          <s v="15.апр"/>
          <s v="16.апр"/>
          <s v="17.апр"/>
          <s v="18.апр"/>
          <s v="19.апр"/>
          <s v="20.апр"/>
          <s v="21.апр"/>
          <s v="22.апр"/>
          <s v="23.апр"/>
          <s v="24.апр"/>
          <s v="25.апр"/>
          <s v="26.апр"/>
          <s v="27.апр"/>
          <s v="28.апр"/>
          <s v="29.апр"/>
          <s v="30.апр"/>
          <s v="01.май"/>
          <s v="02.май"/>
          <s v="03.май"/>
          <s v="04.май"/>
          <s v="05.май"/>
          <s v="06.май"/>
          <s v="07.май"/>
          <s v="08.май"/>
          <s v="09.май"/>
          <s v="10.май"/>
          <s v="11.май"/>
          <s v="12.май"/>
          <s v="13.май"/>
          <s v="14.май"/>
          <s v="15.май"/>
          <s v="16.май"/>
          <s v="17.май"/>
          <s v="18.май"/>
          <s v="19.май"/>
          <s v="20.май"/>
          <s v="21.май"/>
          <s v="22.май"/>
          <s v="23.май"/>
          <s v="24.май"/>
          <s v="25.май"/>
          <s v="26.май"/>
          <s v="27.май"/>
          <s v="28.май"/>
          <s v="29.май"/>
          <s v="30.май"/>
          <s v="31.май"/>
          <s v="01.июн"/>
          <s v="02.июн"/>
          <s v="03.июн"/>
          <s v="04.июн"/>
          <s v="05.июн"/>
          <s v="06.июн"/>
          <s v="07.июн"/>
          <s v="08.июн"/>
          <s v="09.июн"/>
          <s v="10.июн"/>
          <s v="11.июн"/>
          <s v="12.июн"/>
          <s v="13.июн"/>
          <s v="14.июн"/>
          <s v="15.июн"/>
          <s v="16.июн"/>
          <s v="17.июн"/>
          <s v="18.июн"/>
          <s v="19.июн"/>
          <s v="20.июн"/>
          <s v="21.июн"/>
          <s v="22.июн"/>
          <s v="23.июн"/>
          <s v="24.июн"/>
          <s v="25.июн"/>
          <s v="26.июн"/>
          <s v="27.июн"/>
          <s v="28.июн"/>
          <s v="29.июн"/>
          <s v="30.июн"/>
          <s v="01.июл"/>
          <s v="02.июл"/>
          <s v="03.июл"/>
          <s v="04.июл"/>
          <s v="05.июл"/>
          <s v="06.июл"/>
          <s v="07.июл"/>
          <s v="08.июл"/>
          <s v="09.июл"/>
          <s v="10.июл"/>
          <s v="11.июл"/>
          <s v="12.июл"/>
          <s v="13.июл"/>
          <s v="14.июл"/>
          <s v="15.июл"/>
          <s v="16.июл"/>
          <s v="17.июл"/>
          <s v="18.июл"/>
          <s v="19.июл"/>
          <s v="20.июл"/>
          <s v="21.июл"/>
          <s v="22.июл"/>
          <s v="23.июл"/>
          <s v="24.июл"/>
          <s v="25.июл"/>
          <s v="26.июл"/>
          <s v="27.июл"/>
          <s v="28.июл"/>
          <s v="29.июл"/>
          <s v="30.июл"/>
          <s v="31.июл"/>
          <s v="01.авг"/>
          <s v="02.авг"/>
          <s v="03.авг"/>
          <s v="04.авг"/>
          <s v="05.авг"/>
          <s v="06.авг"/>
          <s v="07.авг"/>
          <s v="08.авг"/>
          <s v="09.авг"/>
          <s v="10.авг"/>
          <s v="11.авг"/>
          <s v="12.авг"/>
          <s v="13.авг"/>
          <s v="14.авг"/>
          <s v="15.авг"/>
          <s v="16.авг"/>
          <s v="17.авг"/>
          <s v="18.авг"/>
          <s v="19.авг"/>
          <s v="20.авг"/>
          <s v="21.авг"/>
          <s v="22.авг"/>
          <s v="23.авг"/>
          <s v="24.авг"/>
          <s v="25.авг"/>
          <s v="26.авг"/>
          <s v="27.авг"/>
          <s v="28.авг"/>
          <s v="29.авг"/>
          <s v="30.авг"/>
          <s v="31.авг"/>
          <s v="01.сен"/>
          <s v="02.сен"/>
          <s v="03.сен"/>
          <s v="04.сен"/>
          <s v="05.сен"/>
          <s v="06.сен"/>
          <s v="07.сен"/>
          <s v="08.сен"/>
          <s v="09.сен"/>
          <s v="10.сен"/>
          <s v="11.сен"/>
          <s v="12.сен"/>
          <s v="13.сен"/>
          <s v="14.сен"/>
          <s v="15.сен"/>
          <s v="16.сен"/>
          <s v="17.сен"/>
          <s v="18.сен"/>
          <s v="19.сен"/>
          <s v="20.сен"/>
          <s v="21.сен"/>
          <s v="22.сен"/>
          <s v="23.сен"/>
          <s v="24.сен"/>
          <s v="25.сен"/>
          <s v="26.сен"/>
          <s v="27.сен"/>
          <s v="28.сен"/>
          <s v="29.сен"/>
          <s v="30.сен"/>
          <s v="01.окт"/>
          <s v="02.окт"/>
          <s v="03.окт"/>
          <s v="04.окт"/>
          <s v="05.окт"/>
          <s v="06.окт"/>
          <s v="07.окт"/>
          <s v="08.окт"/>
          <s v="09.окт"/>
          <s v="10.окт"/>
          <s v="11.окт"/>
          <s v="12.окт"/>
          <s v="13.окт"/>
          <s v="14.окт"/>
          <s v="15.окт"/>
          <s v="16.окт"/>
          <s v="17.окт"/>
          <s v="18.окт"/>
          <s v="19.окт"/>
          <s v="20.окт"/>
          <s v="21.окт"/>
          <s v="22.окт"/>
          <s v="23.окт"/>
          <s v="24.окт"/>
          <s v="25.окт"/>
          <s v="26.окт"/>
          <s v="27.окт"/>
          <s v="28.окт"/>
          <s v="29.окт"/>
          <s v="30.окт"/>
          <s v="31.окт"/>
          <s v="01.ноя"/>
          <s v="02.ноя"/>
          <s v="03.ноя"/>
          <s v="04.ноя"/>
          <s v="05.ноя"/>
          <s v="06.ноя"/>
          <s v="07.ноя"/>
          <s v="08.ноя"/>
          <s v="09.ноя"/>
          <s v="10.ноя"/>
          <s v="11.ноя"/>
          <s v="12.ноя"/>
          <s v="13.ноя"/>
          <s v="14.ноя"/>
          <s v="15.ноя"/>
          <s v="16.ноя"/>
          <s v="17.ноя"/>
          <s v="18.ноя"/>
          <s v="19.ноя"/>
          <s v="20.ноя"/>
          <s v="21.ноя"/>
          <s v="22.ноя"/>
          <s v="23.ноя"/>
          <s v="24.ноя"/>
          <s v="25.ноя"/>
          <s v="26.ноя"/>
          <s v="27.ноя"/>
          <s v="28.ноя"/>
          <s v="29.ноя"/>
          <s v="30.ноя"/>
          <s v="01.дек"/>
          <s v="02.дек"/>
          <s v="03.дек"/>
          <s v="04.дек"/>
          <s v="05.дек"/>
          <s v="06.дек"/>
          <s v="07.дек"/>
          <s v="08.дек"/>
          <s v="09.дек"/>
          <s v="10.дек"/>
          <s v="11.дек"/>
          <s v="12.дек"/>
          <s v="13.дек"/>
          <s v="14.дек"/>
          <s v="15.дек"/>
          <s v="16.дек"/>
          <s v="17.дек"/>
          <s v="18.дек"/>
          <s v="19.дек"/>
          <s v="20.дек"/>
          <s v="21.дек"/>
          <s v="22.дек"/>
          <s v="23.дек"/>
          <s v="24.дек"/>
          <s v="25.дек"/>
          <s v="26.дек"/>
          <s v="27.дек"/>
          <s v="28.дек"/>
          <s v="29.дек"/>
          <s v="30.дек"/>
          <s v="31.дек"/>
          <s v="&gt;02.01.2026"/>
        </groupItems>
      </fieldGroup>
    </cacheField>
    <cacheField name="Months (Order Date)" numFmtId="0" databaseField="0">
      <fieldGroup base="0">
        <rangePr groupBy="months" startDate="2025-05-07T00:00:00" endDate="2026-01-02T00:00:00"/>
        <groupItems count="14">
          <s v="&lt;07.05.2025"/>
          <s v="янв"/>
          <s v="фев"/>
          <s v="мар"/>
          <s v="апр"/>
          <s v="май"/>
          <s v="июн"/>
          <s v="июл"/>
          <s v="авг"/>
          <s v="сен"/>
          <s v="окт"/>
          <s v="ноя"/>
          <s v="дек"/>
          <s v="&gt;02.01.2026"/>
        </groupItems>
      </fieldGroup>
    </cacheField>
  </cacheFields>
  <extLst>
    <ext xmlns:x14="http://schemas.microsoft.com/office/spreadsheetml/2009/9/main" uri="{725AE2AE-9491-48be-B2B4-4EB974FC3084}">
      <x14:pivotCacheDefinition pivotCacheId="16526145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x v="0"/>
    <x v="0"/>
    <n v="3920"/>
    <x v="0"/>
    <n v="1372"/>
  </r>
  <r>
    <x v="1"/>
    <x v="0"/>
    <n v="4449"/>
    <x v="1"/>
    <n v="0"/>
  </r>
  <r>
    <x v="2"/>
    <x v="0"/>
    <n v="3336"/>
    <x v="2"/>
    <n v="333.6"/>
  </r>
  <r>
    <x v="3"/>
    <x v="1"/>
    <n v="3454"/>
    <x v="1"/>
    <n v="0"/>
  </r>
  <r>
    <x v="4"/>
    <x v="0"/>
    <n v="2619"/>
    <x v="1"/>
    <n v="0"/>
  </r>
  <r>
    <x v="5"/>
    <x v="1"/>
    <n v="3117"/>
    <x v="0"/>
    <n v="1090.95"/>
  </r>
  <r>
    <x v="6"/>
    <x v="1"/>
    <n v="4084"/>
    <x v="1"/>
    <n v="0"/>
  </r>
  <r>
    <x v="7"/>
    <x v="0"/>
    <n v="3092"/>
    <x v="1"/>
    <n v="0"/>
  </r>
  <r>
    <x v="8"/>
    <x v="2"/>
    <n v="1807"/>
    <x v="2"/>
    <n v="180.70000000000002"/>
  </r>
  <r>
    <x v="9"/>
    <x v="2"/>
    <n v="1358"/>
    <x v="3"/>
    <n v="407.40000000000003"/>
  </r>
  <r>
    <x v="10"/>
    <x v="1"/>
    <n v="4772"/>
    <x v="4"/>
    <n v="2147.4"/>
  </r>
  <r>
    <x v="11"/>
    <x v="3"/>
    <n v="4038"/>
    <x v="1"/>
    <n v="0"/>
  </r>
  <r>
    <x v="12"/>
    <x v="2"/>
    <n v="3855"/>
    <x v="1"/>
    <n v="0"/>
  </r>
  <r>
    <x v="13"/>
    <x v="2"/>
    <n v="4504"/>
    <x v="1"/>
    <n v="0"/>
  </r>
  <r>
    <x v="14"/>
    <x v="0"/>
    <n v="1899"/>
    <x v="3"/>
    <n v="569.70000000000005"/>
  </r>
  <r>
    <x v="15"/>
    <x v="2"/>
    <n v="2638"/>
    <x v="1"/>
    <n v="0"/>
  </r>
  <r>
    <x v="13"/>
    <x v="2"/>
    <n v="1885"/>
    <x v="1"/>
    <n v="0"/>
  </r>
  <r>
    <x v="16"/>
    <x v="3"/>
    <n v="3154"/>
    <x v="1"/>
    <n v="0"/>
  </r>
  <r>
    <x v="17"/>
    <x v="2"/>
    <n v="2047"/>
    <x v="1"/>
    <n v="0"/>
  </r>
  <r>
    <x v="18"/>
    <x v="2"/>
    <n v="4635"/>
    <x v="5"/>
    <n v="927"/>
  </r>
  <r>
    <x v="19"/>
    <x v="3"/>
    <n v="3886"/>
    <x v="6"/>
    <n v="1943"/>
  </r>
  <r>
    <x v="20"/>
    <x v="3"/>
    <n v="1631"/>
    <x v="1"/>
    <n v="0"/>
  </r>
  <r>
    <x v="21"/>
    <x v="2"/>
    <n v="3495"/>
    <x v="5"/>
    <n v="699"/>
  </r>
  <r>
    <x v="22"/>
    <x v="3"/>
    <n v="1504"/>
    <x v="1"/>
    <n v="0"/>
  </r>
  <r>
    <x v="23"/>
    <x v="1"/>
    <n v="1794"/>
    <x v="1"/>
    <n v="0"/>
  </r>
  <r>
    <x v="24"/>
    <x v="2"/>
    <n v="2287"/>
    <x v="1"/>
    <n v="0"/>
  </r>
  <r>
    <x v="25"/>
    <x v="3"/>
    <n v="1159"/>
    <x v="1"/>
    <n v="0"/>
  </r>
  <r>
    <x v="26"/>
    <x v="0"/>
    <n v="1101"/>
    <x v="6"/>
    <n v="550.5"/>
  </r>
  <r>
    <x v="27"/>
    <x v="0"/>
    <n v="1898"/>
    <x v="1"/>
    <n v="0"/>
  </r>
  <r>
    <x v="12"/>
    <x v="3"/>
    <n v="4977"/>
    <x v="7"/>
    <n v="1244.25"/>
  </r>
  <r>
    <x v="28"/>
    <x v="0"/>
    <n v="2824"/>
    <x v="1"/>
    <n v="0"/>
  </r>
  <r>
    <x v="1"/>
    <x v="0"/>
    <n v="4175"/>
    <x v="1"/>
    <n v="0"/>
  </r>
  <r>
    <x v="29"/>
    <x v="0"/>
    <n v="2008"/>
    <x v="1"/>
    <n v="0"/>
  </r>
  <r>
    <x v="30"/>
    <x v="0"/>
    <n v="4003"/>
    <x v="1"/>
    <n v="0"/>
  </r>
  <r>
    <x v="31"/>
    <x v="3"/>
    <n v="3261"/>
    <x v="6"/>
    <n v="1630.5"/>
  </r>
  <r>
    <x v="6"/>
    <x v="2"/>
    <n v="4199"/>
    <x v="1"/>
    <n v="0"/>
  </r>
  <r>
    <x v="32"/>
    <x v="1"/>
    <n v="4709"/>
    <x v="1"/>
    <n v="0"/>
  </r>
  <r>
    <x v="33"/>
    <x v="2"/>
    <n v="2493"/>
    <x v="1"/>
    <n v="0"/>
  </r>
  <r>
    <x v="25"/>
    <x v="3"/>
    <n v="3839"/>
    <x v="1"/>
    <n v="0"/>
  </r>
  <r>
    <x v="2"/>
    <x v="2"/>
    <n v="2250"/>
    <x v="1"/>
    <n v="0"/>
  </r>
  <r>
    <x v="34"/>
    <x v="3"/>
    <n v="4159"/>
    <x v="1"/>
    <n v="0"/>
  </r>
  <r>
    <x v="35"/>
    <x v="0"/>
    <n v="1690"/>
    <x v="1"/>
    <n v="0"/>
  </r>
  <r>
    <x v="36"/>
    <x v="3"/>
    <n v="2131"/>
    <x v="8"/>
    <n v="106.55000000000001"/>
  </r>
  <r>
    <x v="37"/>
    <x v="2"/>
    <n v="1862"/>
    <x v="1"/>
    <n v="0"/>
  </r>
  <r>
    <x v="17"/>
    <x v="0"/>
    <n v="1853"/>
    <x v="1"/>
    <n v="0"/>
  </r>
  <r>
    <x v="38"/>
    <x v="3"/>
    <n v="3059"/>
    <x v="9"/>
    <n v="1223.6000000000001"/>
  </r>
  <r>
    <x v="39"/>
    <x v="2"/>
    <n v="3535"/>
    <x v="1"/>
    <n v="0"/>
  </r>
  <r>
    <x v="17"/>
    <x v="2"/>
    <n v="1346"/>
    <x v="8"/>
    <n v="67.3"/>
  </r>
  <r>
    <x v="40"/>
    <x v="2"/>
    <n v="2503"/>
    <x v="1"/>
    <n v="0"/>
  </r>
  <r>
    <x v="41"/>
    <x v="0"/>
    <n v="4021"/>
    <x v="5"/>
    <n v="804.2"/>
  </r>
  <r>
    <x v="42"/>
    <x v="3"/>
    <n v="2575"/>
    <x v="1"/>
    <n v="0"/>
  </r>
  <r>
    <x v="43"/>
    <x v="0"/>
    <n v="1012"/>
    <x v="1"/>
    <n v="0"/>
  </r>
  <r>
    <x v="5"/>
    <x v="0"/>
    <n v="3647"/>
    <x v="5"/>
    <n v="729.40000000000009"/>
  </r>
  <r>
    <x v="44"/>
    <x v="3"/>
    <n v="3849"/>
    <x v="1"/>
    <n v="0"/>
  </r>
  <r>
    <x v="45"/>
    <x v="2"/>
    <n v="2766"/>
    <x v="1"/>
    <n v="0"/>
  </r>
  <r>
    <x v="46"/>
    <x v="3"/>
    <n v="1078"/>
    <x v="1"/>
    <n v="0"/>
  </r>
  <r>
    <x v="47"/>
    <x v="1"/>
    <n v="3321"/>
    <x v="1"/>
    <n v="0"/>
  </r>
  <r>
    <x v="2"/>
    <x v="1"/>
    <n v="3459"/>
    <x v="1"/>
    <n v="0"/>
  </r>
  <r>
    <x v="48"/>
    <x v="2"/>
    <n v="4028"/>
    <x v="3"/>
    <n v="1208.4000000000001"/>
  </r>
  <r>
    <x v="12"/>
    <x v="0"/>
    <n v="2999"/>
    <x v="3"/>
    <n v="899.7"/>
  </r>
  <r>
    <x v="41"/>
    <x v="1"/>
    <n v="2962"/>
    <x v="6"/>
    <n v="1481"/>
  </r>
  <r>
    <x v="49"/>
    <x v="3"/>
    <n v="1175"/>
    <x v="1"/>
    <n v="0"/>
  </r>
  <r>
    <x v="12"/>
    <x v="1"/>
    <n v="1002"/>
    <x v="0"/>
    <n v="350.70000000000005"/>
  </r>
  <r>
    <x v="50"/>
    <x v="2"/>
    <n v="2437"/>
    <x v="0"/>
    <n v="852.95"/>
  </r>
  <r>
    <x v="51"/>
    <x v="3"/>
    <n v="3442"/>
    <x v="1"/>
    <n v="0"/>
  </r>
  <r>
    <x v="2"/>
    <x v="0"/>
    <n v="2343"/>
    <x v="1"/>
    <n v="0"/>
  </r>
  <r>
    <x v="46"/>
    <x v="2"/>
    <n v="4153"/>
    <x v="1"/>
    <n v="0"/>
  </r>
  <r>
    <x v="24"/>
    <x v="1"/>
    <n v="1831"/>
    <x v="1"/>
    <n v="0"/>
  </r>
  <r>
    <x v="52"/>
    <x v="0"/>
    <n v="1252"/>
    <x v="1"/>
    <n v="0"/>
  </r>
  <r>
    <x v="53"/>
    <x v="3"/>
    <n v="3311"/>
    <x v="1"/>
    <n v="0"/>
  </r>
  <r>
    <x v="14"/>
    <x v="3"/>
    <n v="1681"/>
    <x v="6"/>
    <n v="840.5"/>
  </r>
  <r>
    <x v="54"/>
    <x v="1"/>
    <n v="3891"/>
    <x v="1"/>
    <n v="0"/>
  </r>
  <r>
    <x v="48"/>
    <x v="3"/>
    <n v="3223"/>
    <x v="7"/>
    <n v="805.75"/>
  </r>
  <r>
    <x v="15"/>
    <x v="1"/>
    <n v="1232"/>
    <x v="6"/>
    <n v="616"/>
  </r>
  <r>
    <x v="55"/>
    <x v="3"/>
    <n v="1764"/>
    <x v="1"/>
    <n v="0"/>
  </r>
  <r>
    <x v="56"/>
    <x v="0"/>
    <n v="2576"/>
    <x v="9"/>
    <n v="1030.4000000000001"/>
  </r>
  <r>
    <x v="10"/>
    <x v="0"/>
    <n v="2869"/>
    <x v="1"/>
    <n v="0"/>
  </r>
  <r>
    <x v="57"/>
    <x v="0"/>
    <n v="4725"/>
    <x v="4"/>
    <n v="2126.25"/>
  </r>
  <r>
    <x v="58"/>
    <x v="0"/>
    <n v="4127"/>
    <x v="5"/>
    <n v="825.40000000000009"/>
  </r>
  <r>
    <x v="10"/>
    <x v="2"/>
    <n v="1729"/>
    <x v="1"/>
    <n v="0"/>
  </r>
  <r>
    <x v="51"/>
    <x v="0"/>
    <n v="2909"/>
    <x v="1"/>
    <n v="0"/>
  </r>
  <r>
    <x v="59"/>
    <x v="3"/>
    <n v="3152"/>
    <x v="5"/>
    <n v="630.40000000000009"/>
  </r>
  <r>
    <x v="10"/>
    <x v="0"/>
    <n v="2754"/>
    <x v="0"/>
    <n v="963.90000000000009"/>
  </r>
  <r>
    <x v="60"/>
    <x v="1"/>
    <n v="2853"/>
    <x v="9"/>
    <n v="1141.2"/>
  </r>
  <r>
    <x v="61"/>
    <x v="3"/>
    <n v="1298"/>
    <x v="1"/>
    <n v="0"/>
  </r>
  <r>
    <x v="62"/>
    <x v="1"/>
    <n v="4655"/>
    <x v="1"/>
    <n v="0"/>
  </r>
  <r>
    <x v="63"/>
    <x v="1"/>
    <n v="2471"/>
    <x v="1"/>
    <n v="0"/>
  </r>
  <r>
    <x v="16"/>
    <x v="0"/>
    <n v="1562"/>
    <x v="1"/>
    <n v="0"/>
  </r>
  <r>
    <x v="64"/>
    <x v="0"/>
    <n v="3892"/>
    <x v="1"/>
    <n v="0"/>
  </r>
  <r>
    <x v="65"/>
    <x v="0"/>
    <n v="1510"/>
    <x v="1"/>
    <n v="0"/>
  </r>
  <r>
    <x v="66"/>
    <x v="1"/>
    <n v="4977"/>
    <x v="6"/>
    <n v="2488.5"/>
  </r>
  <r>
    <x v="67"/>
    <x v="0"/>
    <n v="1389"/>
    <x v="7"/>
    <n v="347.25"/>
  </r>
  <r>
    <x v="68"/>
    <x v="2"/>
    <n v="3865"/>
    <x v="1"/>
    <n v="0"/>
  </r>
  <r>
    <x v="69"/>
    <x v="3"/>
    <n v="2738"/>
    <x v="1"/>
    <n v="0"/>
  </r>
  <r>
    <x v="29"/>
    <x v="3"/>
    <n v="2323"/>
    <x v="1"/>
    <n v="0"/>
  </r>
  <r>
    <x v="6"/>
    <x v="2"/>
    <n v="4945"/>
    <x v="1"/>
    <n v="0"/>
  </r>
  <r>
    <x v="70"/>
    <x v="0"/>
    <n v="1074"/>
    <x v="1"/>
    <n v="0"/>
  </r>
  <r>
    <x v="71"/>
    <x v="1"/>
    <n v="2494"/>
    <x v="1"/>
    <n v="0"/>
  </r>
  <r>
    <x v="72"/>
    <x v="0"/>
    <n v="2967"/>
    <x v="5"/>
    <n v="593.4"/>
  </r>
  <r>
    <x v="9"/>
    <x v="3"/>
    <n v="3737"/>
    <x v="1"/>
    <n v="0"/>
  </r>
  <r>
    <x v="73"/>
    <x v="3"/>
    <n v="2077"/>
    <x v="4"/>
    <n v="934.65000000000009"/>
  </r>
  <r>
    <x v="74"/>
    <x v="0"/>
    <n v="2831"/>
    <x v="1"/>
    <n v="0"/>
  </r>
  <r>
    <x v="22"/>
    <x v="2"/>
    <n v="3154"/>
    <x v="1"/>
    <n v="0"/>
  </r>
  <r>
    <x v="75"/>
    <x v="0"/>
    <n v="4574"/>
    <x v="1"/>
    <n v="0"/>
  </r>
  <r>
    <x v="76"/>
    <x v="1"/>
    <n v="3309"/>
    <x v="9"/>
    <n v="1323.6000000000001"/>
  </r>
  <r>
    <x v="5"/>
    <x v="1"/>
    <n v="2780"/>
    <x v="8"/>
    <n v="139"/>
  </r>
  <r>
    <x v="68"/>
    <x v="0"/>
    <n v="4218"/>
    <x v="1"/>
    <n v="0"/>
  </r>
  <r>
    <x v="77"/>
    <x v="2"/>
    <n v="3921"/>
    <x v="1"/>
    <n v="0"/>
  </r>
  <r>
    <x v="78"/>
    <x v="0"/>
    <n v="1215"/>
    <x v="1"/>
    <n v="0"/>
  </r>
  <r>
    <x v="79"/>
    <x v="2"/>
    <n v="3220"/>
    <x v="1"/>
    <n v="0"/>
  </r>
  <r>
    <x v="26"/>
    <x v="3"/>
    <n v="2942"/>
    <x v="1"/>
    <n v="0"/>
  </r>
  <r>
    <x v="36"/>
    <x v="2"/>
    <n v="2874"/>
    <x v="1"/>
    <n v="0"/>
  </r>
  <r>
    <x v="36"/>
    <x v="3"/>
    <n v="4098"/>
    <x v="1"/>
    <n v="0"/>
  </r>
  <r>
    <x v="64"/>
    <x v="0"/>
    <n v="3379"/>
    <x v="9"/>
    <n v="1351.6000000000001"/>
  </r>
  <r>
    <x v="80"/>
    <x v="0"/>
    <n v="4333"/>
    <x v="1"/>
    <n v="0"/>
  </r>
  <r>
    <x v="81"/>
    <x v="1"/>
    <n v="4582"/>
    <x v="2"/>
    <n v="458.20000000000005"/>
  </r>
  <r>
    <x v="82"/>
    <x v="2"/>
    <n v="2558"/>
    <x v="1"/>
    <n v="0"/>
  </r>
  <r>
    <x v="21"/>
    <x v="3"/>
    <n v="1855"/>
    <x v="10"/>
    <n v="278.25"/>
  </r>
  <r>
    <x v="83"/>
    <x v="2"/>
    <n v="2630"/>
    <x v="1"/>
    <n v="0"/>
  </r>
  <r>
    <x v="70"/>
    <x v="3"/>
    <n v="4077"/>
    <x v="1"/>
    <n v="0"/>
  </r>
  <r>
    <x v="84"/>
    <x v="1"/>
    <n v="1475"/>
    <x v="1"/>
    <n v="0"/>
  </r>
  <r>
    <x v="55"/>
    <x v="0"/>
    <n v="4716"/>
    <x v="7"/>
    <n v="1179"/>
  </r>
  <r>
    <x v="78"/>
    <x v="3"/>
    <n v="2573"/>
    <x v="1"/>
    <n v="0"/>
  </r>
  <r>
    <x v="85"/>
    <x v="2"/>
    <n v="4416"/>
    <x v="1"/>
    <n v="0"/>
  </r>
  <r>
    <x v="86"/>
    <x v="3"/>
    <n v="1657"/>
    <x v="1"/>
    <n v="0"/>
  </r>
  <r>
    <x v="87"/>
    <x v="0"/>
    <n v="3412"/>
    <x v="1"/>
    <n v="0"/>
  </r>
  <r>
    <x v="44"/>
    <x v="1"/>
    <n v="1493"/>
    <x v="7"/>
    <n v="373.25"/>
  </r>
  <r>
    <x v="88"/>
    <x v="1"/>
    <n v="3119"/>
    <x v="1"/>
    <n v="0"/>
  </r>
  <r>
    <x v="64"/>
    <x v="3"/>
    <n v="2605"/>
    <x v="2"/>
    <n v="260.5"/>
  </r>
  <r>
    <x v="28"/>
    <x v="1"/>
    <n v="3295"/>
    <x v="1"/>
    <n v="0"/>
  </r>
  <r>
    <x v="89"/>
    <x v="3"/>
    <n v="3849"/>
    <x v="8"/>
    <n v="192.45000000000002"/>
  </r>
  <r>
    <x v="13"/>
    <x v="3"/>
    <n v="3369"/>
    <x v="1"/>
    <n v="0"/>
  </r>
  <r>
    <x v="10"/>
    <x v="3"/>
    <n v="2756"/>
    <x v="1"/>
    <n v="0"/>
  </r>
  <r>
    <x v="23"/>
    <x v="1"/>
    <n v="1734"/>
    <x v="1"/>
    <n v="0"/>
  </r>
  <r>
    <x v="38"/>
    <x v="3"/>
    <n v="1667"/>
    <x v="1"/>
    <n v="0"/>
  </r>
  <r>
    <x v="43"/>
    <x v="3"/>
    <n v="1697"/>
    <x v="0"/>
    <n v="593.95000000000005"/>
  </r>
  <r>
    <x v="38"/>
    <x v="1"/>
    <n v="2758"/>
    <x v="5"/>
    <n v="551.6"/>
  </r>
  <r>
    <x v="3"/>
    <x v="3"/>
    <n v="1299"/>
    <x v="3"/>
    <n v="389.70000000000005"/>
  </r>
  <r>
    <x v="4"/>
    <x v="0"/>
    <n v="4747"/>
    <x v="1"/>
    <n v="0"/>
  </r>
  <r>
    <x v="90"/>
    <x v="1"/>
    <n v="4966"/>
    <x v="4"/>
    <n v="2234.7000000000003"/>
  </r>
  <r>
    <x v="91"/>
    <x v="3"/>
    <n v="3973"/>
    <x v="1"/>
    <n v="0"/>
  </r>
  <r>
    <x v="92"/>
    <x v="3"/>
    <n v="3648"/>
    <x v="9"/>
    <n v="1459.2"/>
  </r>
  <r>
    <x v="63"/>
    <x v="0"/>
    <n v="3842"/>
    <x v="0"/>
    <n v="1344.7"/>
  </r>
  <r>
    <x v="93"/>
    <x v="2"/>
    <n v="2388"/>
    <x v="1"/>
    <n v="0"/>
  </r>
  <r>
    <x v="94"/>
    <x v="1"/>
    <n v="3375"/>
    <x v="7"/>
    <n v="843.75"/>
  </r>
  <r>
    <x v="95"/>
    <x v="3"/>
    <n v="2891"/>
    <x v="1"/>
    <n v="0"/>
  </r>
  <r>
    <x v="2"/>
    <x v="0"/>
    <n v="2100"/>
    <x v="1"/>
    <n v="0"/>
  </r>
  <r>
    <x v="96"/>
    <x v="2"/>
    <n v="4452"/>
    <x v="1"/>
    <n v="0"/>
  </r>
  <r>
    <x v="34"/>
    <x v="0"/>
    <n v="1137"/>
    <x v="1"/>
    <n v="0"/>
  </r>
  <r>
    <x v="89"/>
    <x v="2"/>
    <n v="2675"/>
    <x v="7"/>
    <n v="668.75"/>
  </r>
  <r>
    <x v="2"/>
    <x v="1"/>
    <n v="2860"/>
    <x v="1"/>
    <n v="0"/>
  </r>
  <r>
    <x v="52"/>
    <x v="1"/>
    <n v="2414"/>
    <x v="1"/>
    <n v="0"/>
  </r>
  <r>
    <x v="48"/>
    <x v="2"/>
    <n v="1767"/>
    <x v="5"/>
    <n v="353.40000000000003"/>
  </r>
  <r>
    <x v="97"/>
    <x v="3"/>
    <n v="4025"/>
    <x v="1"/>
    <n v="0"/>
  </r>
  <r>
    <x v="88"/>
    <x v="2"/>
    <n v="3572"/>
    <x v="1"/>
    <n v="0"/>
  </r>
  <r>
    <x v="8"/>
    <x v="1"/>
    <n v="2515"/>
    <x v="10"/>
    <n v="377.25"/>
  </r>
  <r>
    <x v="98"/>
    <x v="2"/>
    <n v="4980"/>
    <x v="9"/>
    <n v="1992"/>
  </r>
  <r>
    <x v="12"/>
    <x v="0"/>
    <n v="3732"/>
    <x v="1"/>
    <n v="0"/>
  </r>
  <r>
    <x v="79"/>
    <x v="2"/>
    <n v="2664"/>
    <x v="1"/>
    <n v="0"/>
  </r>
  <r>
    <x v="35"/>
    <x v="3"/>
    <n v="2605"/>
    <x v="1"/>
    <n v="0"/>
  </r>
  <r>
    <x v="50"/>
    <x v="1"/>
    <n v="1453"/>
    <x v="6"/>
    <n v="726.5"/>
  </r>
  <r>
    <x v="99"/>
    <x v="0"/>
    <n v="3628"/>
    <x v="1"/>
    <n v="0"/>
  </r>
  <r>
    <x v="100"/>
    <x v="2"/>
    <n v="1986"/>
    <x v="1"/>
    <n v="0"/>
  </r>
  <r>
    <x v="101"/>
    <x v="0"/>
    <n v="4219"/>
    <x v="4"/>
    <n v="1898.5500000000002"/>
  </r>
  <r>
    <x v="29"/>
    <x v="2"/>
    <n v="2159"/>
    <x v="10"/>
    <n v="323.85000000000002"/>
  </r>
  <r>
    <x v="102"/>
    <x v="3"/>
    <n v="3831"/>
    <x v="8"/>
    <n v="191.55"/>
  </r>
  <r>
    <x v="103"/>
    <x v="2"/>
    <n v="2108"/>
    <x v="1"/>
    <n v="0"/>
  </r>
  <r>
    <x v="104"/>
    <x v="3"/>
    <n v="2235"/>
    <x v="6"/>
    <n v="1117.5"/>
  </r>
  <r>
    <x v="32"/>
    <x v="3"/>
    <n v="3811"/>
    <x v="9"/>
    <n v="1524.4"/>
  </r>
  <r>
    <x v="18"/>
    <x v="1"/>
    <n v="3881"/>
    <x v="1"/>
    <n v="0"/>
  </r>
  <r>
    <x v="54"/>
    <x v="2"/>
    <n v="1963"/>
    <x v="1"/>
    <n v="0"/>
  </r>
  <r>
    <x v="105"/>
    <x v="3"/>
    <n v="1873"/>
    <x v="1"/>
    <n v="0"/>
  </r>
  <r>
    <x v="106"/>
    <x v="1"/>
    <n v="1913"/>
    <x v="1"/>
    <n v="0"/>
  </r>
  <r>
    <x v="28"/>
    <x v="1"/>
    <n v="4050"/>
    <x v="1"/>
    <n v="0"/>
  </r>
  <r>
    <x v="61"/>
    <x v="0"/>
    <n v="1141"/>
    <x v="1"/>
    <n v="0"/>
  </r>
  <r>
    <x v="107"/>
    <x v="1"/>
    <n v="2956"/>
    <x v="10"/>
    <n v="443.40000000000003"/>
  </r>
  <r>
    <x v="108"/>
    <x v="0"/>
    <n v="3962"/>
    <x v="1"/>
    <n v="0"/>
  </r>
  <r>
    <x v="5"/>
    <x v="2"/>
    <n v="4294"/>
    <x v="1"/>
    <n v="0"/>
  </r>
  <r>
    <x v="103"/>
    <x v="3"/>
    <n v="1798"/>
    <x v="1"/>
    <n v="0"/>
  </r>
  <r>
    <x v="109"/>
    <x v="1"/>
    <n v="4070"/>
    <x v="1"/>
    <n v="0"/>
  </r>
  <r>
    <x v="110"/>
    <x v="2"/>
    <n v="1124"/>
    <x v="1"/>
    <n v="0"/>
  </r>
  <r>
    <x v="35"/>
    <x v="1"/>
    <n v="4312"/>
    <x v="1"/>
    <n v="0"/>
  </r>
  <r>
    <x v="58"/>
    <x v="3"/>
    <n v="1145"/>
    <x v="1"/>
    <n v="0"/>
  </r>
  <r>
    <x v="47"/>
    <x v="3"/>
    <n v="1452"/>
    <x v="1"/>
    <n v="0"/>
  </r>
  <r>
    <x v="17"/>
    <x v="3"/>
    <n v="1877"/>
    <x v="1"/>
    <n v="0"/>
  </r>
  <r>
    <x v="111"/>
    <x v="2"/>
    <n v="1449"/>
    <x v="10"/>
    <n v="217.35000000000002"/>
  </r>
  <r>
    <x v="112"/>
    <x v="0"/>
    <n v="4832"/>
    <x v="1"/>
    <n v="0"/>
  </r>
  <r>
    <x v="113"/>
    <x v="1"/>
    <n v="1280"/>
    <x v="1"/>
    <n v="0"/>
  </r>
  <r>
    <x v="114"/>
    <x v="1"/>
    <n v="4777"/>
    <x v="0"/>
    <n v="1671.95"/>
  </r>
  <r>
    <x v="115"/>
    <x v="0"/>
    <n v="3010"/>
    <x v="3"/>
    <n v="903"/>
  </r>
  <r>
    <x v="14"/>
    <x v="0"/>
    <n v="4018"/>
    <x v="10"/>
    <n v="602.70000000000005"/>
  </r>
  <r>
    <x v="89"/>
    <x v="3"/>
    <n v="1292"/>
    <x v="8"/>
    <n v="64.600000000000009"/>
  </r>
  <r>
    <x v="89"/>
    <x v="2"/>
    <n v="2288"/>
    <x v="1"/>
    <n v="0"/>
  </r>
  <r>
    <x v="35"/>
    <x v="3"/>
    <n v="4413"/>
    <x v="8"/>
    <n v="220.65"/>
  </r>
  <r>
    <x v="116"/>
    <x v="3"/>
    <n v="4761"/>
    <x v="1"/>
    <n v="0"/>
  </r>
  <r>
    <x v="117"/>
    <x v="1"/>
    <n v="3831"/>
    <x v="1"/>
    <n v="0"/>
  </r>
  <r>
    <x v="39"/>
    <x v="0"/>
    <n v="1301"/>
    <x v="1"/>
    <n v="0"/>
  </r>
  <r>
    <x v="118"/>
    <x v="0"/>
    <n v="2667"/>
    <x v="5"/>
    <n v="533.4"/>
  </r>
  <r>
    <x v="95"/>
    <x v="1"/>
    <n v="2152"/>
    <x v="2"/>
    <n v="215.20000000000002"/>
  </r>
  <r>
    <x v="2"/>
    <x v="3"/>
    <n v="3086"/>
    <x v="1"/>
    <n v="0"/>
  </r>
  <r>
    <x v="119"/>
    <x v="3"/>
    <n v="3138"/>
    <x v="1"/>
    <n v="0"/>
  </r>
  <r>
    <x v="31"/>
    <x v="0"/>
    <n v="1723"/>
    <x v="1"/>
    <n v="0"/>
  </r>
  <r>
    <x v="120"/>
    <x v="0"/>
    <n v="3851"/>
    <x v="1"/>
    <n v="0"/>
  </r>
  <r>
    <x v="121"/>
    <x v="3"/>
    <n v="2911"/>
    <x v="5"/>
    <n v="582.20000000000005"/>
  </r>
  <r>
    <x v="84"/>
    <x v="1"/>
    <n v="3833"/>
    <x v="10"/>
    <n v="574.95000000000005"/>
  </r>
  <r>
    <x v="20"/>
    <x v="3"/>
    <n v="2837"/>
    <x v="4"/>
    <n v="1276.6500000000001"/>
  </r>
  <r>
    <x v="104"/>
    <x v="2"/>
    <n v="3208"/>
    <x v="0"/>
    <n v="1122.8"/>
  </r>
  <r>
    <x v="122"/>
    <x v="2"/>
    <n v="3000"/>
    <x v="1"/>
    <n v="0"/>
  </r>
  <r>
    <x v="66"/>
    <x v="2"/>
    <n v="2205"/>
    <x v="1"/>
    <n v="0"/>
  </r>
  <r>
    <x v="113"/>
    <x v="1"/>
    <n v="4972"/>
    <x v="1"/>
    <n v="0"/>
  </r>
  <r>
    <x v="123"/>
    <x v="3"/>
    <n v="1209"/>
    <x v="1"/>
    <n v="0"/>
  </r>
  <r>
    <x v="88"/>
    <x v="0"/>
    <n v="2750"/>
    <x v="1"/>
    <n v="0"/>
  </r>
  <r>
    <x v="12"/>
    <x v="0"/>
    <n v="3347"/>
    <x v="1"/>
    <n v="0"/>
  </r>
  <r>
    <x v="124"/>
    <x v="1"/>
    <n v="3663"/>
    <x v="1"/>
    <n v="0"/>
  </r>
  <r>
    <x v="65"/>
    <x v="1"/>
    <n v="3375"/>
    <x v="4"/>
    <n v="1518.75"/>
  </r>
  <r>
    <x v="125"/>
    <x v="3"/>
    <n v="2585"/>
    <x v="1"/>
    <n v="0"/>
  </r>
  <r>
    <x v="12"/>
    <x v="3"/>
    <n v="2021"/>
    <x v="1"/>
    <n v="0"/>
  </r>
  <r>
    <x v="69"/>
    <x v="1"/>
    <n v="2298"/>
    <x v="1"/>
    <n v="0"/>
  </r>
  <r>
    <x v="22"/>
    <x v="1"/>
    <n v="3150"/>
    <x v="5"/>
    <n v="630"/>
  </r>
  <r>
    <x v="94"/>
    <x v="1"/>
    <n v="2036"/>
    <x v="1"/>
    <n v="0"/>
  </r>
  <r>
    <x v="101"/>
    <x v="2"/>
    <n v="4714"/>
    <x v="6"/>
    <n v="2357"/>
  </r>
  <r>
    <x v="126"/>
    <x v="3"/>
    <n v="2734"/>
    <x v="1"/>
    <n v="0"/>
  </r>
  <r>
    <x v="76"/>
    <x v="1"/>
    <n v="2203"/>
    <x v="1"/>
    <n v="0"/>
  </r>
  <r>
    <x v="22"/>
    <x v="3"/>
    <n v="2440"/>
    <x v="1"/>
    <n v="0"/>
  </r>
  <r>
    <x v="10"/>
    <x v="1"/>
    <n v="2832"/>
    <x v="1"/>
    <n v="0"/>
  </r>
  <r>
    <x v="89"/>
    <x v="0"/>
    <n v="4743"/>
    <x v="1"/>
    <n v="0"/>
  </r>
  <r>
    <x v="112"/>
    <x v="2"/>
    <n v="2808"/>
    <x v="4"/>
    <n v="1263.6000000000001"/>
  </r>
  <r>
    <x v="12"/>
    <x v="0"/>
    <n v="1336"/>
    <x v="1"/>
    <n v="0"/>
  </r>
  <r>
    <x v="127"/>
    <x v="1"/>
    <n v="2360"/>
    <x v="1"/>
    <n v="0"/>
  </r>
  <r>
    <x v="15"/>
    <x v="1"/>
    <n v="1738"/>
    <x v="1"/>
    <n v="0"/>
  </r>
  <r>
    <x v="110"/>
    <x v="3"/>
    <n v="3829"/>
    <x v="1"/>
    <n v="0"/>
  </r>
  <r>
    <x v="128"/>
    <x v="2"/>
    <n v="1828"/>
    <x v="2"/>
    <n v="182.8"/>
  </r>
  <r>
    <x v="86"/>
    <x v="1"/>
    <n v="3781"/>
    <x v="1"/>
    <n v="0"/>
  </r>
  <r>
    <x v="102"/>
    <x v="3"/>
    <n v="1396"/>
    <x v="1"/>
    <n v="0"/>
  </r>
  <r>
    <x v="126"/>
    <x v="2"/>
    <n v="2639"/>
    <x v="1"/>
    <n v="0"/>
  </r>
  <r>
    <x v="52"/>
    <x v="2"/>
    <n v="4194"/>
    <x v="1"/>
    <n v="0"/>
  </r>
  <r>
    <x v="129"/>
    <x v="3"/>
    <n v="4252"/>
    <x v="1"/>
    <n v="0"/>
  </r>
  <r>
    <x v="120"/>
    <x v="2"/>
    <n v="2077"/>
    <x v="1"/>
    <n v="0"/>
  </r>
  <r>
    <x v="23"/>
    <x v="3"/>
    <n v="4628"/>
    <x v="1"/>
    <n v="0"/>
  </r>
  <r>
    <x v="130"/>
    <x v="0"/>
    <n v="3203"/>
    <x v="1"/>
    <n v="0"/>
  </r>
  <r>
    <x v="27"/>
    <x v="0"/>
    <n v="2088"/>
    <x v="1"/>
    <n v="0"/>
  </r>
  <r>
    <x v="124"/>
    <x v="2"/>
    <n v="4973"/>
    <x v="8"/>
    <n v="248.65"/>
  </r>
  <r>
    <x v="89"/>
    <x v="3"/>
    <n v="2447"/>
    <x v="9"/>
    <n v="978.80000000000007"/>
  </r>
  <r>
    <x v="9"/>
    <x v="2"/>
    <n v="2360"/>
    <x v="1"/>
    <n v="0"/>
  </r>
  <r>
    <x v="118"/>
    <x v="2"/>
    <n v="3448"/>
    <x v="1"/>
    <n v="0"/>
  </r>
  <r>
    <x v="82"/>
    <x v="1"/>
    <n v="2873"/>
    <x v="10"/>
    <n v="430.95000000000005"/>
  </r>
  <r>
    <x v="44"/>
    <x v="2"/>
    <n v="1327"/>
    <x v="1"/>
    <n v="0"/>
  </r>
  <r>
    <x v="131"/>
    <x v="2"/>
    <n v="1260"/>
    <x v="1"/>
    <n v="0"/>
  </r>
  <r>
    <x v="22"/>
    <x v="3"/>
    <n v="2884"/>
    <x v="6"/>
    <n v="1442"/>
  </r>
  <r>
    <x v="6"/>
    <x v="2"/>
    <n v="4777"/>
    <x v="2"/>
    <n v="477.70000000000005"/>
  </r>
  <r>
    <x v="132"/>
    <x v="0"/>
    <n v="4095"/>
    <x v="1"/>
    <n v="0"/>
  </r>
  <r>
    <x v="89"/>
    <x v="3"/>
    <n v="2981"/>
    <x v="1"/>
    <n v="0"/>
  </r>
  <r>
    <x v="133"/>
    <x v="2"/>
    <n v="3577"/>
    <x v="1"/>
    <n v="0"/>
  </r>
  <r>
    <x v="55"/>
    <x v="3"/>
    <n v="3409"/>
    <x v="2"/>
    <n v="340.90000000000003"/>
  </r>
  <r>
    <x v="28"/>
    <x v="3"/>
    <n v="3430"/>
    <x v="4"/>
    <n v="1543.5"/>
  </r>
  <r>
    <x v="116"/>
    <x v="2"/>
    <n v="1012"/>
    <x v="1"/>
    <n v="0"/>
  </r>
  <r>
    <x v="109"/>
    <x v="0"/>
    <n v="2552"/>
    <x v="1"/>
    <n v="0"/>
  </r>
  <r>
    <x v="134"/>
    <x v="1"/>
    <n v="1632"/>
    <x v="7"/>
    <n v="408"/>
  </r>
  <r>
    <x v="135"/>
    <x v="1"/>
    <n v="1350"/>
    <x v="1"/>
    <n v="0"/>
  </r>
  <r>
    <x v="86"/>
    <x v="2"/>
    <n v="4572"/>
    <x v="4"/>
    <n v="2057.4"/>
  </r>
  <r>
    <x v="18"/>
    <x v="3"/>
    <n v="3036"/>
    <x v="1"/>
    <n v="0"/>
  </r>
  <r>
    <x v="136"/>
    <x v="3"/>
    <n v="4485"/>
    <x v="1"/>
    <n v="0"/>
  </r>
  <r>
    <x v="72"/>
    <x v="0"/>
    <n v="3601"/>
    <x v="10"/>
    <n v="540.15"/>
  </r>
  <r>
    <x v="31"/>
    <x v="3"/>
    <n v="3988"/>
    <x v="1"/>
    <n v="0"/>
  </r>
  <r>
    <x v="98"/>
    <x v="2"/>
    <n v="3695"/>
    <x v="1"/>
    <n v="0"/>
  </r>
  <r>
    <x v="27"/>
    <x v="2"/>
    <n v="1641"/>
    <x v="1"/>
    <n v="0"/>
  </r>
  <r>
    <x v="137"/>
    <x v="0"/>
    <n v="4493"/>
    <x v="4"/>
    <n v="2021.8500000000001"/>
  </r>
  <r>
    <x v="138"/>
    <x v="3"/>
    <n v="2263"/>
    <x v="1"/>
    <n v="0"/>
  </r>
  <r>
    <x v="139"/>
    <x v="3"/>
    <n v="2604"/>
    <x v="2"/>
    <n v="260.40000000000003"/>
  </r>
  <r>
    <x v="14"/>
    <x v="3"/>
    <n v="4060"/>
    <x v="1"/>
    <n v="0"/>
  </r>
  <r>
    <x v="24"/>
    <x v="2"/>
    <n v="4074"/>
    <x v="1"/>
    <n v="0"/>
  </r>
  <r>
    <x v="27"/>
    <x v="1"/>
    <n v="1376"/>
    <x v="10"/>
    <n v="206.4"/>
  </r>
  <r>
    <x v="44"/>
    <x v="2"/>
    <n v="2509"/>
    <x v="1"/>
    <n v="0"/>
  </r>
  <r>
    <x v="50"/>
    <x v="0"/>
    <n v="2245"/>
    <x v="1"/>
    <n v="0"/>
  </r>
  <r>
    <x v="136"/>
    <x v="2"/>
    <n v="4409"/>
    <x v="1"/>
    <n v="0"/>
  </r>
  <r>
    <x v="71"/>
    <x v="2"/>
    <n v="3412"/>
    <x v="1"/>
    <n v="0"/>
  </r>
  <r>
    <x v="116"/>
    <x v="2"/>
    <n v="3035"/>
    <x v="1"/>
    <n v="0"/>
  </r>
  <r>
    <x v="132"/>
    <x v="0"/>
    <n v="4215"/>
    <x v="0"/>
    <n v="1475.25"/>
  </r>
  <r>
    <x v="29"/>
    <x v="2"/>
    <n v="3260"/>
    <x v="1"/>
    <n v="0"/>
  </r>
  <r>
    <x v="127"/>
    <x v="0"/>
    <n v="1455"/>
    <x v="1"/>
    <n v="0"/>
  </r>
  <r>
    <x v="140"/>
    <x v="0"/>
    <n v="3448"/>
    <x v="1"/>
    <n v="0"/>
  </r>
  <r>
    <x v="84"/>
    <x v="1"/>
    <n v="4535"/>
    <x v="5"/>
    <n v="907"/>
  </r>
  <r>
    <x v="31"/>
    <x v="1"/>
    <n v="1556"/>
    <x v="1"/>
    <n v="0"/>
  </r>
  <r>
    <x v="104"/>
    <x v="2"/>
    <n v="3026"/>
    <x v="8"/>
    <n v="151.30000000000001"/>
  </r>
  <r>
    <x v="92"/>
    <x v="1"/>
    <n v="4343"/>
    <x v="8"/>
    <n v="217.15"/>
  </r>
  <r>
    <x v="106"/>
    <x v="2"/>
    <n v="2399"/>
    <x v="1"/>
    <n v="0"/>
  </r>
  <r>
    <x v="0"/>
    <x v="1"/>
    <n v="2527"/>
    <x v="8"/>
    <n v="126.35000000000001"/>
  </r>
  <r>
    <x v="104"/>
    <x v="0"/>
    <n v="2741"/>
    <x v="1"/>
    <n v="0"/>
  </r>
  <r>
    <x v="35"/>
    <x v="3"/>
    <n v="1789"/>
    <x v="1"/>
    <n v="0"/>
  </r>
  <r>
    <x v="138"/>
    <x v="1"/>
    <n v="4139"/>
    <x v="8"/>
    <n v="206.95000000000002"/>
  </r>
  <r>
    <x v="136"/>
    <x v="3"/>
    <n v="3991"/>
    <x v="3"/>
    <n v="1197.3"/>
  </r>
  <r>
    <x v="20"/>
    <x v="0"/>
    <n v="3024"/>
    <x v="1"/>
    <n v="0"/>
  </r>
  <r>
    <x v="122"/>
    <x v="0"/>
    <n v="3975"/>
    <x v="1"/>
    <n v="0"/>
  </r>
  <r>
    <x v="114"/>
    <x v="1"/>
    <n v="4946"/>
    <x v="1"/>
    <n v="0"/>
  </r>
  <r>
    <x v="141"/>
    <x v="0"/>
    <n v="2909"/>
    <x v="1"/>
    <n v="0"/>
  </r>
  <r>
    <x v="88"/>
    <x v="3"/>
    <n v="3174"/>
    <x v="10"/>
    <n v="476.1"/>
  </r>
  <r>
    <x v="26"/>
    <x v="2"/>
    <n v="1096"/>
    <x v="8"/>
    <n v="54.800000000000004"/>
  </r>
  <r>
    <x v="118"/>
    <x v="0"/>
    <n v="1160"/>
    <x v="1"/>
    <n v="0"/>
  </r>
  <r>
    <x v="142"/>
    <x v="3"/>
    <n v="3419"/>
    <x v="1"/>
    <n v="0"/>
  </r>
  <r>
    <x v="73"/>
    <x v="1"/>
    <n v="3133"/>
    <x v="1"/>
    <n v="0"/>
  </r>
  <r>
    <x v="114"/>
    <x v="0"/>
    <n v="1464"/>
    <x v="1"/>
    <n v="0"/>
  </r>
  <r>
    <x v="30"/>
    <x v="3"/>
    <n v="3323"/>
    <x v="1"/>
    <n v="0"/>
  </r>
  <r>
    <x v="143"/>
    <x v="1"/>
    <n v="3529"/>
    <x v="7"/>
    <n v="882.25"/>
  </r>
  <r>
    <x v="144"/>
    <x v="2"/>
    <n v="4644"/>
    <x v="1"/>
    <n v="0"/>
  </r>
  <r>
    <x v="15"/>
    <x v="3"/>
    <n v="4222"/>
    <x v="1"/>
    <n v="0"/>
  </r>
  <r>
    <x v="4"/>
    <x v="3"/>
    <n v="4272"/>
    <x v="1"/>
    <n v="0"/>
  </r>
  <r>
    <x v="9"/>
    <x v="2"/>
    <n v="4996"/>
    <x v="8"/>
    <n v="249.8"/>
  </r>
  <r>
    <x v="66"/>
    <x v="3"/>
    <n v="4161"/>
    <x v="10"/>
    <n v="624.15000000000009"/>
  </r>
  <r>
    <x v="85"/>
    <x v="1"/>
    <n v="2766"/>
    <x v="1"/>
    <n v="0"/>
  </r>
  <r>
    <x v="48"/>
    <x v="3"/>
    <n v="2583"/>
    <x v="1"/>
    <n v="0"/>
  </r>
  <r>
    <x v="109"/>
    <x v="3"/>
    <n v="3181"/>
    <x v="1"/>
    <n v="0"/>
  </r>
  <r>
    <x v="145"/>
    <x v="3"/>
    <n v="3600"/>
    <x v="6"/>
    <n v="1800"/>
  </r>
  <r>
    <x v="83"/>
    <x v="3"/>
    <n v="4588"/>
    <x v="1"/>
    <n v="0"/>
  </r>
  <r>
    <x v="16"/>
    <x v="1"/>
    <n v="4450"/>
    <x v="1"/>
    <n v="0"/>
  </r>
  <r>
    <x v="144"/>
    <x v="2"/>
    <n v="4967"/>
    <x v="1"/>
    <n v="0"/>
  </r>
  <r>
    <x v="146"/>
    <x v="2"/>
    <n v="2866"/>
    <x v="1"/>
    <n v="0"/>
  </r>
  <r>
    <x v="147"/>
    <x v="1"/>
    <n v="3686"/>
    <x v="9"/>
    <n v="1474.4"/>
  </r>
  <r>
    <x v="103"/>
    <x v="3"/>
    <n v="1384"/>
    <x v="1"/>
    <n v="0"/>
  </r>
  <r>
    <x v="4"/>
    <x v="1"/>
    <n v="2324"/>
    <x v="1"/>
    <n v="0"/>
  </r>
  <r>
    <x v="66"/>
    <x v="0"/>
    <n v="2855"/>
    <x v="1"/>
    <n v="0"/>
  </r>
  <r>
    <x v="1"/>
    <x v="1"/>
    <n v="4451"/>
    <x v="1"/>
    <n v="0"/>
  </r>
  <r>
    <x v="76"/>
    <x v="0"/>
    <n v="2768"/>
    <x v="1"/>
    <n v="0"/>
  </r>
  <r>
    <x v="21"/>
    <x v="0"/>
    <n v="3738"/>
    <x v="1"/>
    <n v="0"/>
  </r>
  <r>
    <x v="92"/>
    <x v="3"/>
    <n v="2828"/>
    <x v="1"/>
    <n v="0"/>
  </r>
  <r>
    <x v="135"/>
    <x v="1"/>
    <n v="4940"/>
    <x v="1"/>
    <n v="0"/>
  </r>
  <r>
    <x v="139"/>
    <x v="3"/>
    <n v="1294"/>
    <x v="1"/>
    <n v="0"/>
  </r>
  <r>
    <x v="18"/>
    <x v="0"/>
    <n v="2877"/>
    <x v="1"/>
    <n v="0"/>
  </r>
  <r>
    <x v="81"/>
    <x v="0"/>
    <n v="3546"/>
    <x v="1"/>
    <n v="0"/>
  </r>
  <r>
    <x v="148"/>
    <x v="3"/>
    <n v="1184"/>
    <x v="1"/>
    <n v="0"/>
  </r>
  <r>
    <x v="15"/>
    <x v="1"/>
    <n v="4117"/>
    <x v="4"/>
    <n v="1852.65"/>
  </r>
  <r>
    <x v="52"/>
    <x v="2"/>
    <n v="2520"/>
    <x v="1"/>
    <n v="0"/>
  </r>
  <r>
    <x v="21"/>
    <x v="2"/>
    <n v="3247"/>
    <x v="1"/>
    <n v="0"/>
  </r>
  <r>
    <x v="84"/>
    <x v="0"/>
    <n v="2273"/>
    <x v="1"/>
    <n v="0"/>
  </r>
  <r>
    <x v="44"/>
    <x v="1"/>
    <n v="2816"/>
    <x v="7"/>
    <n v="704"/>
  </r>
  <r>
    <x v="128"/>
    <x v="2"/>
    <n v="2536"/>
    <x v="1"/>
    <n v="0"/>
  </r>
  <r>
    <x v="25"/>
    <x v="0"/>
    <n v="2209"/>
    <x v="2"/>
    <n v="220.9"/>
  </r>
  <r>
    <x v="104"/>
    <x v="0"/>
    <n v="2482"/>
    <x v="1"/>
    <n v="0"/>
  </r>
  <r>
    <x v="37"/>
    <x v="1"/>
    <n v="2794"/>
    <x v="1"/>
    <n v="0"/>
  </r>
  <r>
    <x v="4"/>
    <x v="1"/>
    <n v="1890"/>
    <x v="1"/>
    <n v="0"/>
  </r>
  <r>
    <x v="128"/>
    <x v="0"/>
    <n v="3372"/>
    <x v="7"/>
    <n v="843"/>
  </r>
  <r>
    <x v="85"/>
    <x v="2"/>
    <n v="3639"/>
    <x v="1"/>
    <n v="0"/>
  </r>
  <r>
    <x v="43"/>
    <x v="3"/>
    <n v="2199"/>
    <x v="1"/>
    <n v="0"/>
  </r>
  <r>
    <x v="35"/>
    <x v="0"/>
    <n v="4464"/>
    <x v="1"/>
    <n v="0"/>
  </r>
  <r>
    <x v="54"/>
    <x v="2"/>
    <n v="4316"/>
    <x v="1"/>
    <n v="0"/>
  </r>
  <r>
    <x v="50"/>
    <x v="1"/>
    <n v="4145"/>
    <x v="1"/>
    <n v="0"/>
  </r>
  <r>
    <x v="1"/>
    <x v="1"/>
    <n v="2229"/>
    <x v="1"/>
    <n v="0"/>
  </r>
  <r>
    <x v="90"/>
    <x v="1"/>
    <n v="3983"/>
    <x v="1"/>
    <n v="0"/>
  </r>
  <r>
    <x v="24"/>
    <x v="0"/>
    <n v="1613"/>
    <x v="1"/>
    <n v="0"/>
  </r>
  <r>
    <x v="39"/>
    <x v="2"/>
    <n v="3316"/>
    <x v="8"/>
    <n v="165.8"/>
  </r>
  <r>
    <x v="149"/>
    <x v="3"/>
    <n v="1863"/>
    <x v="1"/>
    <n v="0"/>
  </r>
  <r>
    <x v="150"/>
    <x v="3"/>
    <n v="2333"/>
    <x v="1"/>
    <n v="0"/>
  </r>
  <r>
    <x v="151"/>
    <x v="1"/>
    <n v="2156"/>
    <x v="1"/>
    <n v="0"/>
  </r>
  <r>
    <x v="12"/>
    <x v="3"/>
    <n v="2783"/>
    <x v="1"/>
    <n v="0"/>
  </r>
  <r>
    <x v="36"/>
    <x v="2"/>
    <n v="2289"/>
    <x v="9"/>
    <n v="915.6"/>
  </r>
  <r>
    <x v="94"/>
    <x v="1"/>
    <n v="1589"/>
    <x v="2"/>
    <n v="158.9"/>
  </r>
  <r>
    <x v="17"/>
    <x v="2"/>
    <n v="2843"/>
    <x v="1"/>
    <n v="0"/>
  </r>
  <r>
    <x v="100"/>
    <x v="1"/>
    <n v="3126"/>
    <x v="4"/>
    <n v="1406.7"/>
  </r>
  <r>
    <x v="112"/>
    <x v="3"/>
    <n v="4676"/>
    <x v="1"/>
    <n v="0"/>
  </r>
  <r>
    <x v="39"/>
    <x v="3"/>
    <n v="3937"/>
    <x v="1"/>
    <n v="0"/>
  </r>
  <r>
    <x v="28"/>
    <x v="1"/>
    <n v="2781"/>
    <x v="4"/>
    <n v="1251.45"/>
  </r>
  <r>
    <x v="45"/>
    <x v="3"/>
    <n v="2308"/>
    <x v="1"/>
    <n v="0"/>
  </r>
  <r>
    <x v="60"/>
    <x v="2"/>
    <n v="3925"/>
    <x v="1"/>
    <n v="0"/>
  </r>
  <r>
    <x v="45"/>
    <x v="2"/>
    <n v="2891"/>
    <x v="8"/>
    <n v="144.55000000000001"/>
  </r>
  <r>
    <x v="146"/>
    <x v="0"/>
    <n v="4248"/>
    <x v="2"/>
    <n v="424.8"/>
  </r>
  <r>
    <x v="124"/>
    <x v="3"/>
    <n v="1452"/>
    <x v="1"/>
    <n v="0"/>
  </r>
  <r>
    <x v="58"/>
    <x v="1"/>
    <n v="3622"/>
    <x v="1"/>
    <n v="0"/>
  </r>
  <r>
    <x v="52"/>
    <x v="1"/>
    <n v="2310"/>
    <x v="9"/>
    <n v="924"/>
  </r>
  <r>
    <x v="152"/>
    <x v="3"/>
    <n v="2405"/>
    <x v="1"/>
    <n v="0"/>
  </r>
  <r>
    <x v="90"/>
    <x v="0"/>
    <n v="4832"/>
    <x v="1"/>
    <n v="0"/>
  </r>
  <r>
    <x v="106"/>
    <x v="2"/>
    <n v="1634"/>
    <x v="1"/>
    <n v="0"/>
  </r>
  <r>
    <x v="28"/>
    <x v="0"/>
    <n v="2340"/>
    <x v="9"/>
    <n v="936"/>
  </r>
  <r>
    <x v="37"/>
    <x v="3"/>
    <n v="2217"/>
    <x v="7"/>
    <n v="554.25"/>
  </r>
  <r>
    <x v="29"/>
    <x v="0"/>
    <n v="3186"/>
    <x v="1"/>
    <n v="0"/>
  </r>
  <r>
    <x v="153"/>
    <x v="2"/>
    <n v="2391"/>
    <x v="8"/>
    <n v="119.55000000000001"/>
  </r>
  <r>
    <x v="60"/>
    <x v="3"/>
    <n v="3644"/>
    <x v="10"/>
    <n v="546.6"/>
  </r>
  <r>
    <x v="15"/>
    <x v="1"/>
    <n v="3628"/>
    <x v="1"/>
    <n v="0"/>
  </r>
  <r>
    <x v="43"/>
    <x v="2"/>
    <n v="2952"/>
    <x v="2"/>
    <n v="295.2"/>
  </r>
  <r>
    <x v="143"/>
    <x v="2"/>
    <n v="1757"/>
    <x v="1"/>
    <n v="0"/>
  </r>
  <r>
    <x v="149"/>
    <x v="3"/>
    <n v="2639"/>
    <x v="1"/>
    <n v="0"/>
  </r>
  <r>
    <x v="140"/>
    <x v="3"/>
    <n v="1638"/>
    <x v="1"/>
    <n v="0"/>
  </r>
  <r>
    <x v="72"/>
    <x v="1"/>
    <n v="2655"/>
    <x v="1"/>
    <n v="0"/>
  </r>
  <r>
    <x v="98"/>
    <x v="2"/>
    <n v="4407"/>
    <x v="1"/>
    <n v="0"/>
  </r>
  <r>
    <x v="15"/>
    <x v="0"/>
    <n v="1690"/>
    <x v="1"/>
    <n v="0"/>
  </r>
  <r>
    <x v="154"/>
    <x v="0"/>
    <n v="2292"/>
    <x v="7"/>
    <n v="573"/>
  </r>
  <r>
    <x v="102"/>
    <x v="0"/>
    <n v="3871"/>
    <x v="5"/>
    <n v="774.2"/>
  </r>
  <r>
    <x v="87"/>
    <x v="1"/>
    <n v="1919"/>
    <x v="1"/>
    <n v="0"/>
  </r>
  <r>
    <x v="72"/>
    <x v="3"/>
    <n v="1877"/>
    <x v="1"/>
    <n v="0"/>
  </r>
  <r>
    <x v="86"/>
    <x v="2"/>
    <n v="1744"/>
    <x v="1"/>
    <n v="0"/>
  </r>
  <r>
    <x v="155"/>
    <x v="1"/>
    <n v="3707"/>
    <x v="4"/>
    <n v="1668.15"/>
  </r>
  <r>
    <x v="5"/>
    <x v="1"/>
    <n v="2377"/>
    <x v="1"/>
    <n v="0"/>
  </r>
  <r>
    <x v="132"/>
    <x v="3"/>
    <n v="3634"/>
    <x v="1"/>
    <n v="0"/>
  </r>
  <r>
    <x v="86"/>
    <x v="0"/>
    <n v="3145"/>
    <x v="6"/>
    <n v="1572.5"/>
  </r>
  <r>
    <x v="9"/>
    <x v="3"/>
    <n v="1845"/>
    <x v="1"/>
    <n v="0"/>
  </r>
  <r>
    <x v="49"/>
    <x v="3"/>
    <n v="2917"/>
    <x v="9"/>
    <n v="1166.8"/>
  </r>
  <r>
    <x v="42"/>
    <x v="3"/>
    <n v="2681"/>
    <x v="1"/>
    <n v="0"/>
  </r>
  <r>
    <x v="32"/>
    <x v="0"/>
    <n v="2670"/>
    <x v="3"/>
    <n v="801"/>
  </r>
  <r>
    <x v="103"/>
    <x v="1"/>
    <n v="3557"/>
    <x v="1"/>
    <n v="0"/>
  </r>
  <r>
    <x v="109"/>
    <x v="0"/>
    <n v="1838"/>
    <x v="2"/>
    <n v="183.8"/>
  </r>
  <r>
    <x v="139"/>
    <x v="3"/>
    <n v="1703"/>
    <x v="1"/>
    <n v="0"/>
  </r>
  <r>
    <x v="156"/>
    <x v="2"/>
    <n v="1689"/>
    <x v="3"/>
    <n v="506.70000000000005"/>
  </r>
  <r>
    <x v="30"/>
    <x v="3"/>
    <n v="4523"/>
    <x v="10"/>
    <n v="678.45"/>
  </r>
  <r>
    <x v="38"/>
    <x v="0"/>
    <n v="1723"/>
    <x v="6"/>
    <n v="861.5"/>
  </r>
  <r>
    <x v="88"/>
    <x v="3"/>
    <n v="4341"/>
    <x v="0"/>
    <n v="1519.3500000000001"/>
  </r>
  <r>
    <x v="133"/>
    <x v="0"/>
    <n v="1027"/>
    <x v="1"/>
    <n v="0"/>
  </r>
  <r>
    <x v="66"/>
    <x v="1"/>
    <n v="2354"/>
    <x v="1"/>
    <n v="0"/>
  </r>
  <r>
    <x v="64"/>
    <x v="3"/>
    <n v="3572"/>
    <x v="7"/>
    <n v="893"/>
  </r>
  <r>
    <x v="54"/>
    <x v="2"/>
    <n v="2394"/>
    <x v="1"/>
    <n v="0"/>
  </r>
  <r>
    <x v="13"/>
    <x v="3"/>
    <n v="3059"/>
    <x v="0"/>
    <n v="1070.6500000000001"/>
  </r>
  <r>
    <x v="113"/>
    <x v="1"/>
    <n v="4528"/>
    <x v="1"/>
    <n v="0"/>
  </r>
  <r>
    <x v="126"/>
    <x v="1"/>
    <n v="1459"/>
    <x v="4"/>
    <n v="656.55000000000007"/>
  </r>
  <r>
    <x v="26"/>
    <x v="3"/>
    <n v="1146"/>
    <x v="1"/>
    <n v="0"/>
  </r>
  <r>
    <x v="79"/>
    <x v="0"/>
    <n v="3597"/>
    <x v="1"/>
    <n v="0"/>
  </r>
  <r>
    <x v="119"/>
    <x v="3"/>
    <n v="1097"/>
    <x v="1"/>
    <n v="0"/>
  </r>
  <r>
    <x v="122"/>
    <x v="3"/>
    <n v="1728"/>
    <x v="1"/>
    <n v="0"/>
  </r>
  <r>
    <x v="134"/>
    <x v="2"/>
    <n v="3146"/>
    <x v="9"/>
    <n v="1258.4000000000001"/>
  </r>
  <r>
    <x v="39"/>
    <x v="3"/>
    <n v="2881"/>
    <x v="1"/>
    <n v="0"/>
  </r>
  <r>
    <x v="84"/>
    <x v="1"/>
    <n v="4383"/>
    <x v="1"/>
    <n v="0"/>
  </r>
  <r>
    <x v="62"/>
    <x v="1"/>
    <n v="2295"/>
    <x v="4"/>
    <n v="1032.75"/>
  </r>
  <r>
    <x v="122"/>
    <x v="3"/>
    <n v="2068"/>
    <x v="3"/>
    <n v="620.40000000000009"/>
  </r>
  <r>
    <x v="49"/>
    <x v="2"/>
    <n v="3811"/>
    <x v="2"/>
    <n v="381.1"/>
  </r>
  <r>
    <x v="98"/>
    <x v="1"/>
    <n v="1554"/>
    <x v="1"/>
    <n v="0"/>
  </r>
  <r>
    <x v="149"/>
    <x v="1"/>
    <n v="2921"/>
    <x v="0"/>
    <n v="1022.35"/>
  </r>
  <r>
    <x v="25"/>
    <x v="0"/>
    <n v="3431"/>
    <x v="1"/>
    <n v="0"/>
  </r>
  <r>
    <x v="85"/>
    <x v="3"/>
    <n v="3585"/>
    <x v="8"/>
    <n v="179.25"/>
  </r>
  <r>
    <x v="125"/>
    <x v="2"/>
    <n v="2321"/>
    <x v="10"/>
    <n v="348.15000000000003"/>
  </r>
  <r>
    <x v="91"/>
    <x v="0"/>
    <n v="2442"/>
    <x v="1"/>
    <n v="0"/>
  </r>
  <r>
    <x v="10"/>
    <x v="0"/>
    <n v="1934"/>
    <x v="1"/>
    <n v="0"/>
  </r>
  <r>
    <x v="102"/>
    <x v="1"/>
    <n v="4951"/>
    <x v="1"/>
    <n v="0"/>
  </r>
  <r>
    <x v="75"/>
    <x v="1"/>
    <n v="1422"/>
    <x v="8"/>
    <n v="71.100000000000009"/>
  </r>
  <r>
    <x v="53"/>
    <x v="3"/>
    <n v="2948"/>
    <x v="1"/>
    <n v="0"/>
  </r>
  <r>
    <x v="137"/>
    <x v="2"/>
    <n v="2049"/>
    <x v="6"/>
    <n v="1024.5"/>
  </r>
  <r>
    <x v="37"/>
    <x v="1"/>
    <n v="4704"/>
    <x v="1"/>
    <n v="0"/>
  </r>
  <r>
    <x v="122"/>
    <x v="2"/>
    <n v="4631"/>
    <x v="3"/>
    <n v="1389.3000000000002"/>
  </r>
  <r>
    <x v="62"/>
    <x v="0"/>
    <n v="2909"/>
    <x v="1"/>
    <n v="0"/>
  </r>
  <r>
    <x v="154"/>
    <x v="2"/>
    <n v="4439"/>
    <x v="1"/>
    <n v="0"/>
  </r>
  <r>
    <x v="50"/>
    <x v="0"/>
    <n v="3109"/>
    <x v="7"/>
    <n v="777.25"/>
  </r>
  <r>
    <x v="6"/>
    <x v="2"/>
    <n v="3084"/>
    <x v="4"/>
    <n v="1387.8000000000002"/>
  </r>
  <r>
    <x v="87"/>
    <x v="2"/>
    <n v="4448"/>
    <x v="10"/>
    <n v="667.2"/>
  </r>
  <r>
    <x v="74"/>
    <x v="1"/>
    <n v="1032"/>
    <x v="1"/>
    <n v="0"/>
  </r>
  <r>
    <x v="84"/>
    <x v="0"/>
    <n v="3104"/>
    <x v="1"/>
    <n v="0"/>
  </r>
  <r>
    <x v="57"/>
    <x v="1"/>
    <n v="1738"/>
    <x v="1"/>
    <n v="0"/>
  </r>
  <r>
    <x v="76"/>
    <x v="2"/>
    <n v="1181"/>
    <x v="1"/>
    <n v="0"/>
  </r>
  <r>
    <x v="106"/>
    <x v="3"/>
    <n v="1691"/>
    <x v="1"/>
    <n v="0"/>
  </r>
  <r>
    <x v="96"/>
    <x v="0"/>
    <n v="1115"/>
    <x v="1"/>
    <n v="0"/>
  </r>
  <r>
    <x v="31"/>
    <x v="2"/>
    <n v="1037"/>
    <x v="1"/>
    <n v="0"/>
  </r>
  <r>
    <x v="37"/>
    <x v="0"/>
    <n v="3954"/>
    <x v="4"/>
    <n v="1779.3000000000002"/>
  </r>
  <r>
    <x v="157"/>
    <x v="2"/>
    <n v="1497"/>
    <x v="1"/>
    <n v="0"/>
  </r>
  <r>
    <x v="94"/>
    <x v="0"/>
    <n v="1430"/>
    <x v="1"/>
    <n v="0"/>
  </r>
  <r>
    <x v="96"/>
    <x v="2"/>
    <n v="2882"/>
    <x v="5"/>
    <n v="576.4"/>
  </r>
  <r>
    <x v="158"/>
    <x v="2"/>
    <n v="1819"/>
    <x v="1"/>
    <n v="0"/>
  </r>
  <r>
    <x v="123"/>
    <x v="1"/>
    <n v="3449"/>
    <x v="1"/>
    <n v="0"/>
  </r>
  <r>
    <x v="159"/>
    <x v="2"/>
    <n v="1849"/>
    <x v="4"/>
    <n v="832.05000000000007"/>
  </r>
  <r>
    <x v="35"/>
    <x v="2"/>
    <n v="2669"/>
    <x v="2"/>
    <n v="266.90000000000003"/>
  </r>
  <r>
    <x v="158"/>
    <x v="1"/>
    <n v="2816"/>
    <x v="1"/>
    <n v="0"/>
  </r>
  <r>
    <x v="153"/>
    <x v="2"/>
    <n v="3336"/>
    <x v="10"/>
    <n v="500.40000000000003"/>
  </r>
  <r>
    <x v="153"/>
    <x v="3"/>
    <n v="2133"/>
    <x v="1"/>
    <n v="0"/>
  </r>
  <r>
    <x v="90"/>
    <x v="2"/>
    <n v="1462"/>
    <x v="1"/>
    <n v="0"/>
  </r>
  <r>
    <x v="14"/>
    <x v="3"/>
    <n v="3095"/>
    <x v="1"/>
    <n v="0"/>
  </r>
  <r>
    <x v="71"/>
    <x v="1"/>
    <n v="1661"/>
    <x v="1"/>
    <n v="0"/>
  </r>
  <r>
    <x v="5"/>
    <x v="1"/>
    <n v="1539"/>
    <x v="1"/>
    <n v="0"/>
  </r>
  <r>
    <x v="48"/>
    <x v="2"/>
    <n v="4287"/>
    <x v="4"/>
    <n v="1929.15"/>
  </r>
  <r>
    <x v="22"/>
    <x v="0"/>
    <n v="3661"/>
    <x v="1"/>
    <n v="0"/>
  </r>
  <r>
    <x v="147"/>
    <x v="1"/>
    <n v="4196"/>
    <x v="1"/>
    <n v="0"/>
  </r>
  <r>
    <x v="160"/>
    <x v="2"/>
    <n v="1819"/>
    <x v="1"/>
    <n v="0"/>
  </r>
  <r>
    <x v="89"/>
    <x v="3"/>
    <n v="4346"/>
    <x v="1"/>
    <n v="0"/>
  </r>
  <r>
    <x v="105"/>
    <x v="0"/>
    <n v="1479"/>
    <x v="1"/>
    <n v="0"/>
  </r>
  <r>
    <x v="81"/>
    <x v="3"/>
    <n v="3405"/>
    <x v="1"/>
    <n v="0"/>
  </r>
  <r>
    <x v="1"/>
    <x v="2"/>
    <n v="1433"/>
    <x v="1"/>
    <n v="0"/>
  </r>
  <r>
    <x v="62"/>
    <x v="3"/>
    <n v="1114"/>
    <x v="1"/>
    <n v="0"/>
  </r>
  <r>
    <x v="17"/>
    <x v="0"/>
    <n v="1560"/>
    <x v="1"/>
    <n v="0"/>
  </r>
  <r>
    <x v="97"/>
    <x v="0"/>
    <n v="2423"/>
    <x v="1"/>
    <n v="0"/>
  </r>
  <r>
    <x v="143"/>
    <x v="1"/>
    <n v="2017"/>
    <x v="1"/>
    <n v="0"/>
  </r>
  <r>
    <x v="161"/>
    <x v="3"/>
    <n v="4903"/>
    <x v="1"/>
    <n v="0"/>
  </r>
  <r>
    <x v="47"/>
    <x v="3"/>
    <n v="3293"/>
    <x v="1"/>
    <n v="0"/>
  </r>
  <r>
    <x v="103"/>
    <x v="3"/>
    <n v="4912"/>
    <x v="1"/>
    <n v="0"/>
  </r>
  <r>
    <x v="127"/>
    <x v="1"/>
    <n v="1724"/>
    <x v="1"/>
    <n v="0"/>
  </r>
  <r>
    <x v="3"/>
    <x v="3"/>
    <n v="3394"/>
    <x v="7"/>
    <n v="848.5"/>
  </r>
  <r>
    <x v="136"/>
    <x v="0"/>
    <n v="4581"/>
    <x v="1"/>
    <n v="0"/>
  </r>
  <r>
    <x v="29"/>
    <x v="3"/>
    <n v="1584"/>
    <x v="1"/>
    <n v="0"/>
  </r>
  <r>
    <x v="0"/>
    <x v="3"/>
    <n v="2576"/>
    <x v="9"/>
    <n v="1030.4000000000001"/>
  </r>
  <r>
    <x v="104"/>
    <x v="0"/>
    <n v="3939"/>
    <x v="1"/>
    <n v="0"/>
  </r>
  <r>
    <x v="138"/>
    <x v="0"/>
    <n v="1778"/>
    <x v="5"/>
    <n v="355.6"/>
  </r>
  <r>
    <x v="15"/>
    <x v="0"/>
    <n v="4814"/>
    <x v="1"/>
    <n v="0"/>
  </r>
  <r>
    <x v="86"/>
    <x v="0"/>
    <n v="3015"/>
    <x v="1"/>
    <n v="0"/>
  </r>
  <r>
    <x v="106"/>
    <x v="1"/>
    <n v="4639"/>
    <x v="4"/>
    <n v="2087.5500000000002"/>
  </r>
  <r>
    <x v="96"/>
    <x v="3"/>
    <n v="3784"/>
    <x v="1"/>
    <n v="0"/>
  </r>
  <r>
    <x v="96"/>
    <x v="2"/>
    <n v="1611"/>
    <x v="6"/>
    <n v="805.5"/>
  </r>
  <r>
    <x v="137"/>
    <x v="1"/>
    <n v="3307"/>
    <x v="1"/>
    <n v="0"/>
  </r>
  <r>
    <x v="1"/>
    <x v="1"/>
    <n v="4275"/>
    <x v="4"/>
    <n v="1923.75"/>
  </r>
  <r>
    <x v="133"/>
    <x v="2"/>
    <n v="2958"/>
    <x v="8"/>
    <n v="147.9"/>
  </r>
  <r>
    <x v="132"/>
    <x v="2"/>
    <n v="3796"/>
    <x v="3"/>
    <n v="1138.8"/>
  </r>
  <r>
    <x v="128"/>
    <x v="0"/>
    <n v="2089"/>
    <x v="1"/>
    <n v="0"/>
  </r>
  <r>
    <x v="89"/>
    <x v="3"/>
    <n v="1441"/>
    <x v="5"/>
    <n v="288.2"/>
  </r>
  <r>
    <x v="0"/>
    <x v="0"/>
    <n v="3172"/>
    <x v="1"/>
    <n v="0"/>
  </r>
  <r>
    <x v="96"/>
    <x v="2"/>
    <n v="2622"/>
    <x v="1"/>
    <n v="0"/>
  </r>
  <r>
    <x v="162"/>
    <x v="2"/>
    <n v="3383"/>
    <x v="1"/>
    <n v="0"/>
  </r>
  <r>
    <x v="88"/>
    <x v="3"/>
    <n v="3106"/>
    <x v="1"/>
    <n v="0"/>
  </r>
  <r>
    <x v="65"/>
    <x v="1"/>
    <n v="1665"/>
    <x v="1"/>
    <n v="0"/>
  </r>
  <r>
    <x v="92"/>
    <x v="3"/>
    <n v="0"/>
    <x v="1"/>
    <n v="0"/>
  </r>
  <r>
    <x v="163"/>
    <x v="2"/>
    <n v="0"/>
    <x v="1"/>
    <n v="0"/>
  </r>
  <r>
    <x v="164"/>
    <x v="1"/>
    <n v="0"/>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203BF2-9367-4C2C-93C4-2F729C9FFE2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6:B27" firstHeaderRow="1" firstDataRow="1" firstDataCol="1"/>
  <pivotFields count="7">
    <pivotField numFmtId="14" showAll="0">
      <items count="184">
        <item m="1" x="182"/>
        <item x="73"/>
        <item m="1" x="177"/>
        <item x="57"/>
        <item x="102"/>
        <item x="103"/>
        <item x="28"/>
        <item x="37"/>
        <item x="7"/>
        <item x="97"/>
        <item x="33"/>
        <item x="94"/>
        <item x="63"/>
        <item x="126"/>
        <item x="98"/>
        <item x="127"/>
        <item x="137"/>
        <item x="148"/>
        <item x="151"/>
        <item x="89"/>
        <item x="145"/>
        <item x="118"/>
        <item x="135"/>
        <item x="111"/>
        <item x="39"/>
        <item x="23"/>
        <item x="134"/>
        <item x="101"/>
        <item x="3"/>
        <item x="61"/>
        <item m="1" x="181"/>
        <item x="79"/>
        <item x="1"/>
        <item x="147"/>
        <item x="138"/>
        <item x="4"/>
        <item x="143"/>
        <item x="41"/>
        <item x="8"/>
        <item m="1" x="176"/>
        <item x="116"/>
        <item x="86"/>
        <item x="32"/>
        <item m="1" x="174"/>
        <item x="95"/>
        <item x="49"/>
        <item x="106"/>
        <item x="152"/>
        <item x="150"/>
        <item x="22"/>
        <item x="74"/>
        <item x="117"/>
        <item x="64"/>
        <item x="78"/>
        <item x="45"/>
        <item x="131"/>
        <item x="62"/>
        <item x="109"/>
        <item x="50"/>
        <item x="85"/>
        <item x="161"/>
        <item x="44"/>
        <item x="38"/>
        <item x="54"/>
        <item x="128"/>
        <item m="1" x="167"/>
        <item x="36"/>
        <item x="46"/>
        <item x="77"/>
        <item x="96"/>
        <item m="1" x="169"/>
        <item x="48"/>
        <item x="91"/>
        <item x="42"/>
        <item m="1" x="180"/>
        <item x="84"/>
        <item x="157"/>
        <item x="142"/>
        <item x="105"/>
        <item x="87"/>
        <item m="1" x="175"/>
        <item x="58"/>
        <item x="66"/>
        <item x="51"/>
        <item x="43"/>
        <item x="141"/>
        <item x="13"/>
        <item x="125"/>
        <item x="144"/>
        <item x="25"/>
        <item x="100"/>
        <item x="16"/>
        <item x="155"/>
        <item x="27"/>
        <item x="72"/>
        <item x="31"/>
        <item x="124"/>
        <item x="136"/>
        <item m="1" x="179"/>
        <item x="15"/>
        <item x="24"/>
        <item x="130"/>
        <item x="113"/>
        <item x="47"/>
        <item x="70"/>
        <item x="18"/>
        <item x="82"/>
        <item x="68"/>
        <item m="1" x="168"/>
        <item m="1" x="170"/>
        <item x="10"/>
        <item m="1" x="173"/>
        <item x="133"/>
        <item x="9"/>
        <item x="90"/>
        <item x="12"/>
        <item x="35"/>
        <item x="83"/>
        <item x="29"/>
        <item x="6"/>
        <item x="107"/>
        <item m="1" x="165"/>
        <item x="14"/>
        <item x="123"/>
        <item x="110"/>
        <item x="120"/>
        <item x="2"/>
        <item m="1" x="171"/>
        <item x="112"/>
        <item x="119"/>
        <item x="71"/>
        <item x="154"/>
        <item x="146"/>
        <item x="121"/>
        <item x="149"/>
        <item x="0"/>
        <item x="65"/>
        <item x="93"/>
        <item x="162"/>
        <item x="115"/>
        <item x="88"/>
        <item x="140"/>
        <item m="1" x="178"/>
        <item x="30"/>
        <item x="67"/>
        <item x="52"/>
        <item x="60"/>
        <item x="122"/>
        <item m="1" x="172"/>
        <item x="160"/>
        <item x="59"/>
        <item x="56"/>
        <item x="158"/>
        <item x="11"/>
        <item x="81"/>
        <item x="129"/>
        <item m="1" x="166"/>
        <item x="69"/>
        <item x="114"/>
        <item x="21"/>
        <item x="153"/>
        <item x="104"/>
        <item x="5"/>
        <item x="55"/>
        <item x="139"/>
        <item x="75"/>
        <item x="159"/>
        <item x="34"/>
        <item x="92"/>
        <item x="53"/>
        <item x="156"/>
        <item x="17"/>
        <item x="80"/>
        <item x="20"/>
        <item x="132"/>
        <item x="76"/>
        <item x="99"/>
        <item x="108"/>
        <item x="19"/>
        <item x="26"/>
        <item x="40"/>
        <item x="163"/>
        <item x="164"/>
        <item t="default"/>
      </items>
    </pivotField>
    <pivotField showAll="0">
      <items count="5">
        <item x="2"/>
        <item x="1"/>
        <item x="3"/>
        <item x="0"/>
        <item t="default"/>
      </items>
    </pivotField>
    <pivotField showAll="0"/>
    <pivotField axis="axisRow" showAll="0" sortType="ascending">
      <items count="12">
        <item x="6"/>
        <item x="4"/>
        <item x="9"/>
        <item x="0"/>
        <item x="3"/>
        <item x="7"/>
        <item x="5"/>
        <item x="10"/>
        <item x="2"/>
        <item x="8"/>
        <item h="1" x="1"/>
        <item t="default"/>
      </items>
      <autoSortScope>
        <pivotArea dataOnly="0" outline="0" fieldPosition="0">
          <references count="1">
            <reference field="4294967294" count="1" selected="0">
              <x v="0"/>
            </reference>
          </references>
        </pivotArea>
      </autoSortScope>
    </pivotField>
    <pivotField showAll="0"/>
    <pivotField dataField="1" showAll="0" defaultSubtotal="0"/>
    <pivotField showAll="0" defaultSubtotal="0">
      <items count="14">
        <item x="0"/>
        <item x="1"/>
        <item x="2"/>
        <item x="3"/>
        <item x="4"/>
        <item x="5"/>
        <item x="6"/>
        <item x="7"/>
        <item x="8"/>
        <item x="9"/>
        <item x="10"/>
        <item x="11"/>
        <item x="12"/>
        <item x="13"/>
      </items>
    </pivotField>
  </pivotFields>
  <rowFields count="1">
    <field x="3"/>
  </rowFields>
  <rowItems count="11">
    <i>
      <x v="4"/>
    </i>
    <i>
      <x v="3"/>
    </i>
    <i>
      <x v="5"/>
    </i>
    <i>
      <x/>
    </i>
    <i>
      <x v="8"/>
    </i>
    <i>
      <x v="2"/>
    </i>
    <i>
      <x v="6"/>
    </i>
    <i>
      <x v="7"/>
    </i>
    <i>
      <x v="9"/>
    </i>
    <i>
      <x v="1"/>
    </i>
    <i t="grand">
      <x/>
    </i>
  </rowItems>
  <colItems count="1">
    <i/>
  </colItems>
  <dataFields count="1">
    <dataField name="Count of Days (Order Date)"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B4A593-B67E-4F98-B3BA-CA8F65719C4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8:B15" firstHeaderRow="1" firstDataRow="1" firstDataCol="1"/>
  <pivotFields count="7">
    <pivotField axis="axisRow" numFmtId="14" showAll="0">
      <items count="184">
        <item m="1" x="182"/>
        <item x="73"/>
        <item m="1" x="177"/>
        <item x="57"/>
        <item x="102"/>
        <item x="103"/>
        <item x="28"/>
        <item x="37"/>
        <item x="7"/>
        <item x="97"/>
        <item x="33"/>
        <item x="94"/>
        <item x="63"/>
        <item x="126"/>
        <item x="98"/>
        <item x="127"/>
        <item x="137"/>
        <item x="148"/>
        <item x="151"/>
        <item x="89"/>
        <item x="145"/>
        <item x="118"/>
        <item x="135"/>
        <item x="111"/>
        <item x="39"/>
        <item x="23"/>
        <item x="134"/>
        <item x="101"/>
        <item x="3"/>
        <item x="61"/>
        <item m="1" x="181"/>
        <item x="79"/>
        <item x="1"/>
        <item x="147"/>
        <item x="138"/>
        <item x="4"/>
        <item x="143"/>
        <item x="41"/>
        <item x="8"/>
        <item m="1" x="176"/>
        <item x="116"/>
        <item x="86"/>
        <item x="32"/>
        <item m="1" x="174"/>
        <item x="95"/>
        <item x="49"/>
        <item x="106"/>
        <item x="152"/>
        <item x="150"/>
        <item x="22"/>
        <item x="74"/>
        <item x="117"/>
        <item x="64"/>
        <item x="78"/>
        <item x="45"/>
        <item x="131"/>
        <item x="62"/>
        <item x="109"/>
        <item x="50"/>
        <item x="85"/>
        <item x="161"/>
        <item x="44"/>
        <item x="38"/>
        <item x="54"/>
        <item x="128"/>
        <item m="1" x="167"/>
        <item x="36"/>
        <item x="46"/>
        <item x="77"/>
        <item x="96"/>
        <item m="1" x="169"/>
        <item x="48"/>
        <item x="91"/>
        <item x="42"/>
        <item m="1" x="180"/>
        <item x="84"/>
        <item x="157"/>
        <item x="142"/>
        <item x="105"/>
        <item x="87"/>
        <item m="1" x="175"/>
        <item x="58"/>
        <item x="66"/>
        <item x="51"/>
        <item x="43"/>
        <item x="141"/>
        <item x="13"/>
        <item x="125"/>
        <item x="144"/>
        <item x="25"/>
        <item x="100"/>
        <item x="16"/>
        <item x="155"/>
        <item x="27"/>
        <item x="72"/>
        <item x="31"/>
        <item x="124"/>
        <item x="136"/>
        <item m="1" x="179"/>
        <item x="15"/>
        <item x="24"/>
        <item x="130"/>
        <item x="113"/>
        <item x="47"/>
        <item x="70"/>
        <item x="18"/>
        <item x="82"/>
        <item x="68"/>
        <item m="1" x="168"/>
        <item m="1" x="170"/>
        <item x="10"/>
        <item m="1" x="173"/>
        <item x="133"/>
        <item x="9"/>
        <item x="90"/>
        <item x="12"/>
        <item x="35"/>
        <item x="83"/>
        <item x="29"/>
        <item x="6"/>
        <item x="107"/>
        <item m="1" x="165"/>
        <item x="14"/>
        <item x="123"/>
        <item x="110"/>
        <item x="120"/>
        <item x="2"/>
        <item m="1" x="171"/>
        <item x="112"/>
        <item x="119"/>
        <item x="71"/>
        <item x="154"/>
        <item x="146"/>
        <item x="121"/>
        <item x="149"/>
        <item x="0"/>
        <item x="65"/>
        <item x="93"/>
        <item x="162"/>
        <item x="115"/>
        <item x="88"/>
        <item x="140"/>
        <item m="1" x="178"/>
        <item x="30"/>
        <item x="67"/>
        <item x="52"/>
        <item x="60"/>
        <item x="122"/>
        <item m="1" x="172"/>
        <item x="160"/>
        <item x="59"/>
        <item x="56"/>
        <item x="158"/>
        <item x="11"/>
        <item x="81"/>
        <item x="129"/>
        <item m="1" x="166"/>
        <item x="69"/>
        <item x="114"/>
        <item x="21"/>
        <item x="153"/>
        <item x="104"/>
        <item x="5"/>
        <item x="55"/>
        <item x="139"/>
        <item x="75"/>
        <item x="159"/>
        <item x="34"/>
        <item x="92"/>
        <item x="53"/>
        <item x="156"/>
        <item x="17"/>
        <item x="80"/>
        <item x="20"/>
        <item x="132"/>
        <item x="76"/>
        <item x="99"/>
        <item x="108"/>
        <item x="19"/>
        <item x="26"/>
        <item x="40"/>
        <item x="163"/>
        <item x="164"/>
        <item t="default"/>
      </items>
    </pivotField>
    <pivotField showAll="0">
      <items count="5">
        <item x="2"/>
        <item x="1"/>
        <item x="3"/>
        <item x="0"/>
        <item t="default"/>
      </items>
    </pivotField>
    <pivotField showAll="0"/>
    <pivotField showAll="0"/>
    <pivotField dataField="1" showAll="0"/>
    <pivotField axis="axisRow"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axis="axisRow" showAll="0">
      <items count="15">
        <item sd="0" x="0"/>
        <item h="1" sd="0" x="1"/>
        <item sd="0" x="2"/>
        <item sd="0" x="3"/>
        <item sd="0" x="4"/>
        <item n="Мay" sd="0" x="5"/>
        <item n="June" sd="0" x="6"/>
        <item n="July" sd="0" x="7"/>
        <item n="August" sd="0" x="8"/>
        <item n="September" sd="0" x="9"/>
        <item n="October" sd="0" x="10"/>
        <item h="1" sd="0" x="11"/>
        <item h="1" sd="0" x="12"/>
        <item h="1" sd="0" x="13"/>
        <item t="default"/>
      </items>
    </pivotField>
  </pivotFields>
  <rowFields count="3">
    <field x="6"/>
    <field x="5"/>
    <field x="0"/>
  </rowFields>
  <rowItems count="7">
    <i>
      <x v="5"/>
    </i>
    <i>
      <x v="6"/>
    </i>
    <i>
      <x v="7"/>
    </i>
    <i>
      <x v="8"/>
    </i>
    <i>
      <x v="9"/>
    </i>
    <i>
      <x v="10"/>
    </i>
    <i t="grand">
      <x/>
    </i>
  </rowItems>
  <colItems count="1">
    <i/>
  </colItems>
  <dataFields count="1">
    <dataField name="Sum of Financial Loss (PLN)" fld="4" baseField="0" baseItem="0"/>
  </dataFields>
  <chartFormats count="13">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742C9E-786D-4A2E-885D-6D34F435690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7">
    <pivotField numFmtId="14" showAll="0">
      <items count="184">
        <item m="1" x="182"/>
        <item x="73"/>
        <item m="1" x="177"/>
        <item x="57"/>
        <item x="102"/>
        <item x="103"/>
        <item x="28"/>
        <item x="37"/>
        <item x="7"/>
        <item x="97"/>
        <item x="33"/>
        <item x="94"/>
        <item x="63"/>
        <item x="126"/>
        <item x="98"/>
        <item x="127"/>
        <item x="137"/>
        <item x="148"/>
        <item x="151"/>
        <item x="89"/>
        <item x="145"/>
        <item x="118"/>
        <item x="135"/>
        <item x="111"/>
        <item x="39"/>
        <item x="23"/>
        <item x="134"/>
        <item x="101"/>
        <item x="3"/>
        <item x="61"/>
        <item m="1" x="181"/>
        <item x="79"/>
        <item x="1"/>
        <item x="147"/>
        <item x="138"/>
        <item x="4"/>
        <item x="143"/>
        <item x="41"/>
        <item x="8"/>
        <item m="1" x="176"/>
        <item x="116"/>
        <item x="86"/>
        <item x="32"/>
        <item m="1" x="174"/>
        <item x="95"/>
        <item x="49"/>
        <item x="106"/>
        <item x="152"/>
        <item x="150"/>
        <item x="22"/>
        <item x="74"/>
        <item x="117"/>
        <item x="64"/>
        <item x="78"/>
        <item x="45"/>
        <item x="131"/>
        <item x="62"/>
        <item x="109"/>
        <item x="50"/>
        <item x="85"/>
        <item x="161"/>
        <item x="44"/>
        <item x="38"/>
        <item x="54"/>
        <item x="128"/>
        <item m="1" x="167"/>
        <item x="36"/>
        <item x="46"/>
        <item x="77"/>
        <item x="96"/>
        <item m="1" x="169"/>
        <item x="48"/>
        <item x="91"/>
        <item x="42"/>
        <item m="1" x="180"/>
        <item x="84"/>
        <item x="157"/>
        <item x="142"/>
        <item x="105"/>
        <item x="87"/>
        <item m="1" x="175"/>
        <item x="58"/>
        <item x="66"/>
        <item x="51"/>
        <item x="43"/>
        <item x="141"/>
        <item x="13"/>
        <item x="125"/>
        <item x="144"/>
        <item x="25"/>
        <item x="100"/>
        <item x="16"/>
        <item x="155"/>
        <item x="27"/>
        <item x="72"/>
        <item x="31"/>
        <item x="124"/>
        <item x="136"/>
        <item m="1" x="179"/>
        <item x="15"/>
        <item x="24"/>
        <item x="130"/>
        <item x="113"/>
        <item x="47"/>
        <item x="70"/>
        <item x="18"/>
        <item x="82"/>
        <item x="68"/>
        <item m="1" x="168"/>
        <item m="1" x="170"/>
        <item x="10"/>
        <item m="1" x="173"/>
        <item x="133"/>
        <item x="9"/>
        <item x="90"/>
        <item x="12"/>
        <item x="35"/>
        <item x="83"/>
        <item x="29"/>
        <item x="6"/>
        <item x="107"/>
        <item m="1" x="165"/>
        <item x="14"/>
        <item x="123"/>
        <item x="110"/>
        <item x="120"/>
        <item x="2"/>
        <item m="1" x="171"/>
        <item x="112"/>
        <item x="119"/>
        <item x="71"/>
        <item x="154"/>
        <item x="146"/>
        <item x="121"/>
        <item x="149"/>
        <item x="0"/>
        <item x="65"/>
        <item x="93"/>
        <item x="162"/>
        <item x="115"/>
        <item x="88"/>
        <item x="140"/>
        <item m="1" x="178"/>
        <item x="30"/>
        <item x="67"/>
        <item x="52"/>
        <item x="60"/>
        <item x="122"/>
        <item m="1" x="172"/>
        <item x="160"/>
        <item x="59"/>
        <item x="56"/>
        <item x="158"/>
        <item x="11"/>
        <item x="81"/>
        <item x="129"/>
        <item m="1" x="166"/>
        <item x="69"/>
        <item x="114"/>
        <item x="21"/>
        <item x="153"/>
        <item x="104"/>
        <item x="5"/>
        <item x="55"/>
        <item x="139"/>
        <item x="75"/>
        <item x="159"/>
        <item x="34"/>
        <item x="92"/>
        <item x="53"/>
        <item x="156"/>
        <item x="17"/>
        <item x="80"/>
        <item x="20"/>
        <item x="132"/>
        <item x="76"/>
        <item x="99"/>
        <item x="108"/>
        <item x="19"/>
        <item x="26"/>
        <item x="40"/>
        <item x="163"/>
        <item x="164"/>
        <item t="default"/>
      </items>
    </pivotField>
    <pivotField axis="axisRow" showAll="0">
      <items count="5">
        <item x="2"/>
        <item x="1"/>
        <item x="3"/>
        <item x="0"/>
        <item t="default"/>
      </items>
    </pivotField>
    <pivotField showAll="0"/>
    <pivotField showAll="0"/>
    <pivotField dataField="1"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Financial Loss (PLN)" fld="4" baseField="0" baseItem="0"/>
  </dataFields>
  <chartFormats count="9">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1" count="1" selected="0">
            <x v="3"/>
          </reference>
        </references>
      </pivotArea>
    </chartFormat>
    <chartFormat chart="0" format="6">
      <pivotArea type="data" outline="0" fieldPosition="0">
        <references count="2">
          <reference field="4294967294" count="1" selected="0">
            <x v="0"/>
          </reference>
          <reference field="1" count="1" selected="0">
            <x v="0"/>
          </reference>
        </references>
      </pivotArea>
    </chartFormat>
    <chartFormat chart="0" format="7">
      <pivotArea type="data" outline="0" fieldPosition="0">
        <references count="2">
          <reference field="4294967294" count="1" selected="0">
            <x v="0"/>
          </reference>
          <reference field="1" count="1" selected="0">
            <x v="1"/>
          </reference>
        </references>
      </pivotArea>
    </chartFormat>
    <chartFormat chart="0"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Code" xr10:uid="{D6A33A32-BF1B-4A32-B0B9-968F88176978}" sourceName="Material Code">
  <pivotTables>
    <pivotTable tabId="2" name="PivotTable1"/>
    <pivotTable tabId="2" name="PivotTable2"/>
    <pivotTable tabId="2" name="PivotTable4"/>
  </pivotTables>
  <data>
    <tabular pivotCacheId="1652614520">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erial Code" xr10:uid="{600664DB-1942-46C2-A1D3-708CDAF2AF4A}" cache="Slicer_Material_Code" caption="Material Code" lockedPosition="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F1C18A-845C-469C-A399-C9DA88EEB465}" name="Table1" displayName="Table1" ref="A1:E505" totalsRowShown="0" headerRowDxfId="1">
  <autoFilter ref="A1:E505" xr:uid="{76F1C18A-845C-469C-A399-C9DA88EEB465}"/>
  <sortState xmlns:xlrd2="http://schemas.microsoft.com/office/spreadsheetml/2017/richdata2" ref="A2:E500">
    <sortCondition descending="1" ref="A1:A500"/>
  </sortState>
  <tableColumns count="5">
    <tableColumn id="1" xr3:uid="{ACD8DB4C-F4AF-41D0-9C64-9A708E0226F4}" name="Order Date" dataDxfId="0">
      <calculatedColumnFormula>TODAY()-RANDBETWEEN(1,180)</calculatedColumnFormula>
    </tableColumn>
    <tableColumn id="2" xr3:uid="{D88EE790-E956-4E03-BD84-E0B5012F3D2E}" name="Material Code">
      <calculatedColumnFormula>CHOOSE(RANDBETWEEN(1,4),"Steel","Plastic","Chemicals","Packaging")</calculatedColumnFormula>
    </tableColumn>
    <tableColumn id="3" xr3:uid="{85CA7BB0-E0CF-4E19-AA07-F3BF675CBD8D}" name="Order Value (PLN)">
      <calculatedColumnFormula>ROUND(RANDBETWEEN(1000,5000), 0)</calculatedColumnFormula>
    </tableColumn>
    <tableColumn id="4" xr3:uid="{EFFE06D7-6931-47A9-BD7B-F6679D3B0F00}" name="Delay Hours">
      <calculatedColumnFormula>ROUND(CHOOSE(RANDBETWEEN(1,3), 0, 0, RANDBETWEEN(1,10)),0)</calculatedColumnFormula>
    </tableColumn>
    <tableColumn id="5" xr3:uid="{B5D2B583-28EB-4CA3-93FB-80EE436A3429}" name="Financial Loss (PLN)">
      <calculatedColumnFormula>IF(D2&gt;0,D2*C2*0.05, 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EEA89-A9F9-47A3-919A-920F038C4E73}">
  <dimension ref="A14:F17"/>
  <sheetViews>
    <sheetView tabSelected="1" zoomScale="130" zoomScaleNormal="130" zoomScaleSheetLayoutView="130" workbookViewId="0">
      <selection activeCell="B16" sqref="B16"/>
    </sheetView>
  </sheetViews>
  <sheetFormatPr defaultRowHeight="15" x14ac:dyDescent="0.25"/>
  <cols>
    <col min="1" max="1" width="13.7109375" customWidth="1"/>
    <col min="4" max="4" width="12.7109375" customWidth="1"/>
    <col min="6" max="6" width="1.42578125" customWidth="1"/>
  </cols>
  <sheetData>
    <row r="14" spans="1:6" ht="15.75" thickBot="1" x14ac:dyDescent="0.3"/>
    <row r="15" spans="1:6" x14ac:dyDescent="0.25">
      <c r="A15" s="11"/>
      <c r="B15" s="12" t="s">
        <v>15</v>
      </c>
      <c r="C15" s="13"/>
      <c r="D15" s="13"/>
      <c r="E15" s="13"/>
      <c r="F15" s="14"/>
    </row>
    <row r="16" spans="1:6" x14ac:dyDescent="0.25">
      <c r="A16" s="15" t="s">
        <v>14</v>
      </c>
      <c r="B16" s="23">
        <v>0.1</v>
      </c>
      <c r="C16" s="7"/>
      <c r="D16" s="8" t="s">
        <v>13</v>
      </c>
      <c r="E16" s="24">
        <f>Analysis!B6 *B16</f>
        <v>14055.065000000002</v>
      </c>
      <c r="F16" s="16"/>
    </row>
    <row r="17" spans="1:6" ht="15.75" thickBot="1" x14ac:dyDescent="0.3">
      <c r="A17" s="17"/>
      <c r="B17" s="18"/>
      <c r="C17" s="19"/>
      <c r="D17" s="18"/>
      <c r="E17" s="18"/>
      <c r="F17" s="20"/>
    </row>
  </sheetData>
  <sheetProtection algorithmName="SHA-512" hashValue="zwQ3pXowP+agQwZOzTWwTYS6kxLX6bxPeKSLAWd/+8p8NPsrgHlZ0/DPhXH1lQ6CYvqODgR3WFu4+K2bzdtVpw==" saltValue="IfQJlef0Luni4d07QryFBg==" spinCount="100000" sheet="1" objects="1" scenarios="1" selectLockedCells="1"/>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EC19E-F700-4063-AE3F-91E2952220A4}">
  <dimension ref="A1:F31"/>
  <sheetViews>
    <sheetView workbookViewId="0">
      <selection activeCell="F14" sqref="F14"/>
    </sheetView>
  </sheetViews>
  <sheetFormatPr defaultRowHeight="15" x14ac:dyDescent="0.25"/>
  <cols>
    <col min="1" max="1" width="13.42578125" bestFit="1" customWidth="1"/>
    <col min="2" max="2" width="26" bestFit="1" customWidth="1"/>
    <col min="3" max="3" width="9.85546875" bestFit="1" customWidth="1"/>
    <col min="4" max="5" width="11.28515625" customWidth="1"/>
    <col min="6" max="6" width="11.28515625" bestFit="1" customWidth="1"/>
    <col min="9" max="9" width="13.42578125" bestFit="1" customWidth="1"/>
    <col min="10" max="10" width="12" bestFit="1" customWidth="1"/>
    <col min="11" max="11" width="14" bestFit="1" customWidth="1"/>
    <col min="12" max="12" width="4.85546875" bestFit="1" customWidth="1"/>
    <col min="13" max="13" width="13.42578125" bestFit="1" customWidth="1"/>
    <col min="14" max="14" width="12" bestFit="1" customWidth="1"/>
    <col min="15" max="15" width="4.28515625" bestFit="1" customWidth="1"/>
    <col min="16" max="16" width="4" bestFit="1" customWidth="1"/>
    <col min="17" max="17" width="4.28515625" bestFit="1" customWidth="1"/>
    <col min="18" max="18" width="4.42578125" bestFit="1" customWidth="1"/>
    <col min="19" max="19" width="11.28515625" bestFit="1" customWidth="1"/>
  </cols>
  <sheetData>
    <row r="1" spans="1:6" x14ac:dyDescent="0.25">
      <c r="A1" s="3" t="s">
        <v>5</v>
      </c>
      <c r="B1" t="s">
        <v>8</v>
      </c>
    </row>
    <row r="2" spans="1:6" x14ac:dyDescent="0.25">
      <c r="A2" s="4" t="s">
        <v>10</v>
      </c>
      <c r="B2" s="5">
        <v>30864.9</v>
      </c>
      <c r="F2" s="21"/>
    </row>
    <row r="3" spans="1:6" x14ac:dyDescent="0.25">
      <c r="A3" s="4" t="s">
        <v>11</v>
      </c>
      <c r="B3" s="5">
        <v>41017.200000000019</v>
      </c>
      <c r="F3" s="21"/>
    </row>
    <row r="4" spans="1:6" x14ac:dyDescent="0.25">
      <c r="A4" s="4" t="s">
        <v>12</v>
      </c>
      <c r="B4" s="5">
        <v>35569.800000000003</v>
      </c>
      <c r="F4" s="21"/>
    </row>
    <row r="5" spans="1:6" x14ac:dyDescent="0.25">
      <c r="A5" s="4" t="s">
        <v>6</v>
      </c>
      <c r="B5" s="5">
        <v>33098.75</v>
      </c>
      <c r="F5" s="21"/>
    </row>
    <row r="6" spans="1:6" x14ac:dyDescent="0.25">
      <c r="A6" s="4" t="s">
        <v>7</v>
      </c>
      <c r="B6" s="5">
        <v>140550.65000000002</v>
      </c>
      <c r="F6" s="21"/>
    </row>
    <row r="7" spans="1:6" x14ac:dyDescent="0.25">
      <c r="A7" s="6"/>
      <c r="B7" s="6"/>
      <c r="F7" s="21"/>
    </row>
    <row r="8" spans="1:6" x14ac:dyDescent="0.25">
      <c r="A8" s="3" t="s">
        <v>5</v>
      </c>
      <c r="B8" t="s">
        <v>8</v>
      </c>
      <c r="F8" s="21"/>
    </row>
    <row r="9" spans="1:6" x14ac:dyDescent="0.25">
      <c r="A9" s="4" t="s">
        <v>21</v>
      </c>
      <c r="B9" s="5">
        <v>22659.599999999999</v>
      </c>
      <c r="F9" s="21"/>
    </row>
    <row r="10" spans="1:6" x14ac:dyDescent="0.25">
      <c r="A10" s="4" t="s">
        <v>16</v>
      </c>
      <c r="B10" s="5">
        <v>28937.65</v>
      </c>
      <c r="F10" s="21"/>
    </row>
    <row r="11" spans="1:6" x14ac:dyDescent="0.25">
      <c r="A11" s="4" t="s">
        <v>17</v>
      </c>
      <c r="B11" s="5">
        <v>19997.200000000004</v>
      </c>
    </row>
    <row r="12" spans="1:6" x14ac:dyDescent="0.25">
      <c r="A12" s="4" t="s">
        <v>18</v>
      </c>
      <c r="B12" s="5">
        <v>20394.950000000004</v>
      </c>
    </row>
    <row r="13" spans="1:6" x14ac:dyDescent="0.25">
      <c r="A13" s="4" t="s">
        <v>19</v>
      </c>
      <c r="B13" s="5">
        <v>22026</v>
      </c>
    </row>
    <row r="14" spans="1:6" x14ac:dyDescent="0.25">
      <c r="A14" s="4" t="s">
        <v>20</v>
      </c>
      <c r="B14" s="5">
        <v>24858.899999999994</v>
      </c>
    </row>
    <row r="15" spans="1:6" x14ac:dyDescent="0.25">
      <c r="A15" s="4" t="s">
        <v>7</v>
      </c>
      <c r="B15" s="5">
        <v>138874.30000000002</v>
      </c>
    </row>
    <row r="16" spans="1:6" x14ac:dyDescent="0.25">
      <c r="A16" s="3" t="s">
        <v>5</v>
      </c>
      <c r="B16" t="s">
        <v>9</v>
      </c>
    </row>
    <row r="17" spans="1:2" x14ac:dyDescent="0.25">
      <c r="A17" s="4">
        <v>6</v>
      </c>
      <c r="B17" s="5">
        <v>12</v>
      </c>
    </row>
    <row r="18" spans="1:2" x14ac:dyDescent="0.25">
      <c r="A18" s="4">
        <v>7</v>
      </c>
      <c r="B18" s="5">
        <v>13</v>
      </c>
    </row>
    <row r="19" spans="1:2" x14ac:dyDescent="0.25">
      <c r="A19" s="4">
        <v>5</v>
      </c>
      <c r="B19" s="5">
        <v>16</v>
      </c>
    </row>
    <row r="20" spans="1:2" x14ac:dyDescent="0.25">
      <c r="A20" s="4">
        <v>10</v>
      </c>
      <c r="B20" s="5">
        <v>16</v>
      </c>
    </row>
    <row r="21" spans="1:2" x14ac:dyDescent="0.25">
      <c r="A21" s="4">
        <v>2</v>
      </c>
      <c r="B21" s="5">
        <v>16</v>
      </c>
    </row>
    <row r="22" spans="1:2" x14ac:dyDescent="0.25">
      <c r="A22" s="4">
        <v>8</v>
      </c>
      <c r="B22" s="5">
        <v>16</v>
      </c>
    </row>
    <row r="23" spans="1:2" x14ac:dyDescent="0.25">
      <c r="A23" s="4">
        <v>4</v>
      </c>
      <c r="B23" s="5">
        <v>17</v>
      </c>
    </row>
    <row r="24" spans="1:2" x14ac:dyDescent="0.25">
      <c r="A24" s="4">
        <v>3</v>
      </c>
      <c r="B24" s="5">
        <v>17</v>
      </c>
    </row>
    <row r="25" spans="1:2" x14ac:dyDescent="0.25">
      <c r="A25" s="4">
        <v>1</v>
      </c>
      <c r="B25" s="5">
        <v>20</v>
      </c>
    </row>
    <row r="26" spans="1:2" x14ac:dyDescent="0.25">
      <c r="A26" s="4">
        <v>9</v>
      </c>
      <c r="B26" s="5">
        <v>23</v>
      </c>
    </row>
    <row r="27" spans="1:2" x14ac:dyDescent="0.25">
      <c r="A27" s="4" t="s">
        <v>7</v>
      </c>
      <c r="B27" s="5">
        <v>166</v>
      </c>
    </row>
    <row r="28" spans="1:2" x14ac:dyDescent="0.25">
      <c r="A28" s="6"/>
      <c r="B28" s="6"/>
    </row>
    <row r="29" spans="1:2" x14ac:dyDescent="0.25">
      <c r="A29" s="7" t="s">
        <v>14</v>
      </c>
      <c r="B29" s="10">
        <v>5</v>
      </c>
    </row>
    <row r="30" spans="1:2" x14ac:dyDescent="0.25">
      <c r="A30" s="8" t="s">
        <v>13</v>
      </c>
      <c r="B30" s="9">
        <v>123</v>
      </c>
    </row>
    <row r="31" spans="1:2" x14ac:dyDescent="0.25">
      <c r="A31" s="6"/>
      <c r="B31"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FB0C8-8292-4295-8863-D84F4DEA5F0F}">
  <dimension ref="A1:M505"/>
  <sheetViews>
    <sheetView topLeftCell="A253" workbookViewId="0">
      <selection activeCell="H498" sqref="H498"/>
    </sheetView>
  </sheetViews>
  <sheetFormatPr defaultRowHeight="15" x14ac:dyDescent="0.25"/>
  <cols>
    <col min="1" max="1" width="13" customWidth="1"/>
    <col min="2" max="2" width="15.7109375" customWidth="1"/>
    <col min="3" max="3" width="19.140625" customWidth="1"/>
    <col min="4" max="4" width="14.140625" customWidth="1"/>
    <col min="5" max="5" width="21.140625" customWidth="1"/>
  </cols>
  <sheetData>
    <row r="1" spans="1:5" x14ac:dyDescent="0.25">
      <c r="A1" s="1" t="s">
        <v>0</v>
      </c>
      <c r="B1" s="1" t="s">
        <v>1</v>
      </c>
      <c r="C1" s="1" t="s">
        <v>2</v>
      </c>
      <c r="D1" t="s">
        <v>3</v>
      </c>
      <c r="E1" t="s">
        <v>4</v>
      </c>
    </row>
    <row r="2" spans="1:5" x14ac:dyDescent="0.25">
      <c r="A2" s="2">
        <f t="shared" ref="A2:A65" ca="1" si="0">TODAY()-RANDBETWEEN(1,180)</f>
        <v>45851</v>
      </c>
      <c r="B2" t="str">
        <f t="shared" ref="B2:B65" ca="1" si="1">CHOOSE(RANDBETWEEN(1,4),"Steel","Plastic","Chemicals","Packaging")</f>
        <v>Plastic</v>
      </c>
      <c r="C2">
        <f t="shared" ref="C2:C65" ca="1" si="2">ROUND(RANDBETWEEN(1000,5000), 0)</f>
        <v>2301</v>
      </c>
      <c r="D2">
        <f t="shared" ref="D2:D65" ca="1" si="3">ROUND(CHOOSE(RANDBETWEEN(1,3), 0, 0, RANDBETWEEN(1,10)),0)</f>
        <v>1</v>
      </c>
      <c r="E2">
        <f t="shared" ref="E2:E65" ca="1" si="4">IF(D2&gt;0,D2*C2*0.05, 0)</f>
        <v>115.05000000000001</v>
      </c>
    </row>
    <row r="3" spans="1:5" x14ac:dyDescent="0.25">
      <c r="A3" s="2">
        <f t="shared" ca="1" si="0"/>
        <v>45961</v>
      </c>
      <c r="B3" t="str">
        <f t="shared" ca="1" si="1"/>
        <v>Packaging</v>
      </c>
      <c r="C3">
        <f t="shared" ca="1" si="2"/>
        <v>3756</v>
      </c>
      <c r="D3">
        <f t="shared" ca="1" si="3"/>
        <v>0</v>
      </c>
      <c r="E3">
        <f t="shared" ca="1" si="4"/>
        <v>0</v>
      </c>
    </row>
    <row r="4" spans="1:5" x14ac:dyDescent="0.25">
      <c r="A4" s="2">
        <f t="shared" ca="1" si="0"/>
        <v>45861</v>
      </c>
      <c r="B4" t="str">
        <f t="shared" ca="1" si="1"/>
        <v>Plastic</v>
      </c>
      <c r="C4">
        <f t="shared" ca="1" si="2"/>
        <v>2209</v>
      </c>
      <c r="D4">
        <f t="shared" ca="1" si="3"/>
        <v>0</v>
      </c>
      <c r="E4">
        <f t="shared" ca="1" si="4"/>
        <v>0</v>
      </c>
    </row>
    <row r="5" spans="1:5" x14ac:dyDescent="0.25">
      <c r="A5" s="2">
        <f t="shared" ca="1" si="0"/>
        <v>45790</v>
      </c>
      <c r="B5" t="str">
        <f t="shared" ca="1" si="1"/>
        <v>Plastic</v>
      </c>
      <c r="C5">
        <f t="shared" ca="1" si="2"/>
        <v>2937</v>
      </c>
      <c r="D5">
        <f t="shared" ca="1" si="3"/>
        <v>0</v>
      </c>
      <c r="E5">
        <f t="shared" ca="1" si="4"/>
        <v>0</v>
      </c>
    </row>
    <row r="6" spans="1:5" x14ac:dyDescent="0.25">
      <c r="A6" s="2">
        <f t="shared" ca="1" si="0"/>
        <v>45932</v>
      </c>
      <c r="B6" t="str">
        <f t="shared" ca="1" si="1"/>
        <v>Steel</v>
      </c>
      <c r="C6">
        <f t="shared" ca="1" si="2"/>
        <v>3173</v>
      </c>
      <c r="D6">
        <f t="shared" ca="1" si="3"/>
        <v>0</v>
      </c>
      <c r="E6">
        <f t="shared" ca="1" si="4"/>
        <v>0</v>
      </c>
    </row>
    <row r="7" spans="1:5" x14ac:dyDescent="0.25">
      <c r="A7" s="2">
        <f t="shared" ca="1" si="0"/>
        <v>45896</v>
      </c>
      <c r="B7" t="str">
        <f t="shared" ca="1" si="1"/>
        <v>Steel</v>
      </c>
      <c r="C7">
        <f t="shared" ca="1" si="2"/>
        <v>2190</v>
      </c>
      <c r="D7">
        <f t="shared" ca="1" si="3"/>
        <v>0</v>
      </c>
      <c r="E7">
        <f t="shared" ca="1" si="4"/>
        <v>0</v>
      </c>
    </row>
    <row r="8" spans="1:5" x14ac:dyDescent="0.25">
      <c r="A8" s="2">
        <f t="shared" ca="1" si="0"/>
        <v>45953</v>
      </c>
      <c r="B8" t="str">
        <f t="shared" ca="1" si="1"/>
        <v>Chemicals</v>
      </c>
      <c r="C8">
        <f t="shared" ca="1" si="2"/>
        <v>1808</v>
      </c>
      <c r="D8">
        <f t="shared" ca="1" si="3"/>
        <v>0</v>
      </c>
      <c r="E8">
        <f t="shared" ca="1" si="4"/>
        <v>0</v>
      </c>
    </row>
    <row r="9" spans="1:5" x14ac:dyDescent="0.25">
      <c r="A9" s="2">
        <f t="shared" ca="1" si="0"/>
        <v>45832</v>
      </c>
      <c r="B9" t="str">
        <f t="shared" ca="1" si="1"/>
        <v>Chemicals</v>
      </c>
      <c r="C9">
        <f t="shared" ca="1" si="2"/>
        <v>4842</v>
      </c>
      <c r="D9">
        <f t="shared" ca="1" si="3"/>
        <v>0</v>
      </c>
      <c r="E9">
        <f t="shared" ca="1" si="4"/>
        <v>0</v>
      </c>
    </row>
    <row r="10" spans="1:5" x14ac:dyDescent="0.25">
      <c r="A10" s="2">
        <f t="shared" ca="1" si="0"/>
        <v>45894</v>
      </c>
      <c r="B10" t="str">
        <f t="shared" ca="1" si="1"/>
        <v>Chemicals</v>
      </c>
      <c r="C10">
        <f t="shared" ca="1" si="2"/>
        <v>1678</v>
      </c>
      <c r="D10">
        <f t="shared" ca="1" si="3"/>
        <v>0</v>
      </c>
      <c r="E10">
        <f t="shared" ca="1" si="4"/>
        <v>0</v>
      </c>
    </row>
    <row r="11" spans="1:5" x14ac:dyDescent="0.25">
      <c r="A11" s="2">
        <f t="shared" ca="1" si="0"/>
        <v>45874</v>
      </c>
      <c r="B11" t="str">
        <f t="shared" ca="1" si="1"/>
        <v>Steel</v>
      </c>
      <c r="C11">
        <f t="shared" ca="1" si="2"/>
        <v>4329</v>
      </c>
      <c r="D11">
        <f t="shared" ca="1" si="3"/>
        <v>0</v>
      </c>
      <c r="E11">
        <f t="shared" ca="1" si="4"/>
        <v>0</v>
      </c>
    </row>
    <row r="12" spans="1:5" x14ac:dyDescent="0.25">
      <c r="A12" s="2">
        <f t="shared" ca="1" si="0"/>
        <v>45816</v>
      </c>
      <c r="B12" t="str">
        <f t="shared" ca="1" si="1"/>
        <v>Chemicals</v>
      </c>
      <c r="C12">
        <f t="shared" ca="1" si="2"/>
        <v>3854</v>
      </c>
      <c r="D12">
        <f t="shared" ca="1" si="3"/>
        <v>0</v>
      </c>
      <c r="E12">
        <f t="shared" ca="1" si="4"/>
        <v>0</v>
      </c>
    </row>
    <row r="13" spans="1:5" x14ac:dyDescent="0.25">
      <c r="A13" s="2">
        <f t="shared" ca="1" si="0"/>
        <v>45808</v>
      </c>
      <c r="B13" t="str">
        <f t="shared" ca="1" si="1"/>
        <v>Plastic</v>
      </c>
      <c r="C13">
        <f t="shared" ca="1" si="2"/>
        <v>2926</v>
      </c>
      <c r="D13">
        <f t="shared" ca="1" si="3"/>
        <v>9</v>
      </c>
      <c r="E13">
        <f t="shared" ca="1" si="4"/>
        <v>1316.7</v>
      </c>
    </row>
    <row r="14" spans="1:5" x14ac:dyDescent="0.25">
      <c r="A14" s="2">
        <f t="shared" ca="1" si="0"/>
        <v>45895</v>
      </c>
      <c r="B14" t="str">
        <f t="shared" ca="1" si="1"/>
        <v>Plastic</v>
      </c>
      <c r="C14">
        <f t="shared" ca="1" si="2"/>
        <v>4623</v>
      </c>
      <c r="D14">
        <f t="shared" ca="1" si="3"/>
        <v>5</v>
      </c>
      <c r="E14">
        <f t="shared" ca="1" si="4"/>
        <v>1155.75</v>
      </c>
    </row>
    <row r="15" spans="1:5" x14ac:dyDescent="0.25">
      <c r="A15" s="2">
        <f t="shared" ca="1" si="0"/>
        <v>45796</v>
      </c>
      <c r="B15" t="str">
        <f t="shared" ca="1" si="1"/>
        <v>Plastic</v>
      </c>
      <c r="C15">
        <f t="shared" ca="1" si="2"/>
        <v>2118</v>
      </c>
      <c r="D15">
        <f t="shared" ca="1" si="3"/>
        <v>8</v>
      </c>
      <c r="E15">
        <f t="shared" ca="1" si="4"/>
        <v>847.2</v>
      </c>
    </row>
    <row r="16" spans="1:5" x14ac:dyDescent="0.25">
      <c r="A16" s="2">
        <f t="shared" ca="1" si="0"/>
        <v>45955</v>
      </c>
      <c r="B16" t="str">
        <f t="shared" ca="1" si="1"/>
        <v>Plastic</v>
      </c>
      <c r="C16">
        <f t="shared" ca="1" si="2"/>
        <v>4721</v>
      </c>
      <c r="D16">
        <f t="shared" ca="1" si="3"/>
        <v>0</v>
      </c>
      <c r="E16">
        <f t="shared" ca="1" si="4"/>
        <v>0</v>
      </c>
    </row>
    <row r="17" spans="1:5" x14ac:dyDescent="0.25">
      <c r="A17" s="2">
        <f t="shared" ca="1" si="0"/>
        <v>45919</v>
      </c>
      <c r="B17" t="str">
        <f t="shared" ca="1" si="1"/>
        <v>Steel</v>
      </c>
      <c r="C17">
        <f t="shared" ca="1" si="2"/>
        <v>1009</v>
      </c>
      <c r="D17">
        <f t="shared" ca="1" si="3"/>
        <v>0</v>
      </c>
      <c r="E17">
        <f t="shared" ca="1" si="4"/>
        <v>0</v>
      </c>
    </row>
    <row r="18" spans="1:5" x14ac:dyDescent="0.25">
      <c r="A18" s="2">
        <f t="shared" ca="1" si="0"/>
        <v>45921</v>
      </c>
      <c r="B18" t="str">
        <f t="shared" ca="1" si="1"/>
        <v>Packaging</v>
      </c>
      <c r="C18">
        <f t="shared" ca="1" si="2"/>
        <v>3908</v>
      </c>
      <c r="D18">
        <f t="shared" ca="1" si="3"/>
        <v>0</v>
      </c>
      <c r="E18">
        <f t="shared" ca="1" si="4"/>
        <v>0</v>
      </c>
    </row>
    <row r="19" spans="1:5" x14ac:dyDescent="0.25">
      <c r="A19" s="2">
        <f t="shared" ca="1" si="0"/>
        <v>45805</v>
      </c>
      <c r="B19" t="str">
        <f t="shared" ca="1" si="1"/>
        <v>Packaging</v>
      </c>
      <c r="C19">
        <f t="shared" ca="1" si="2"/>
        <v>2914</v>
      </c>
      <c r="D19">
        <f t="shared" ca="1" si="3"/>
        <v>4</v>
      </c>
      <c r="E19">
        <f t="shared" ca="1" si="4"/>
        <v>582.80000000000007</v>
      </c>
    </row>
    <row r="20" spans="1:5" x14ac:dyDescent="0.25">
      <c r="A20" s="2">
        <f t="shared" ca="1" si="0"/>
        <v>45913</v>
      </c>
      <c r="B20" t="str">
        <f t="shared" ca="1" si="1"/>
        <v>Plastic</v>
      </c>
      <c r="C20">
        <f t="shared" ca="1" si="2"/>
        <v>2330</v>
      </c>
      <c r="D20">
        <f t="shared" ca="1" si="3"/>
        <v>0</v>
      </c>
      <c r="E20">
        <f t="shared" ca="1" si="4"/>
        <v>0</v>
      </c>
    </row>
    <row r="21" spans="1:5" x14ac:dyDescent="0.25">
      <c r="A21" s="2">
        <f t="shared" ca="1" si="0"/>
        <v>45842</v>
      </c>
      <c r="B21" t="str">
        <f t="shared" ca="1" si="1"/>
        <v>Steel</v>
      </c>
      <c r="C21">
        <f t="shared" ca="1" si="2"/>
        <v>1951</v>
      </c>
      <c r="D21">
        <f t="shared" ca="1" si="3"/>
        <v>0</v>
      </c>
      <c r="E21">
        <f t="shared" ca="1" si="4"/>
        <v>0</v>
      </c>
    </row>
    <row r="22" spans="1:5" x14ac:dyDescent="0.25">
      <c r="A22" s="2">
        <f t="shared" ca="1" si="0"/>
        <v>45891</v>
      </c>
      <c r="B22" t="str">
        <f t="shared" ca="1" si="1"/>
        <v>Packaging</v>
      </c>
      <c r="C22">
        <f t="shared" ca="1" si="2"/>
        <v>2175</v>
      </c>
      <c r="D22">
        <f t="shared" ca="1" si="3"/>
        <v>0</v>
      </c>
      <c r="E22">
        <f t="shared" ca="1" si="4"/>
        <v>0</v>
      </c>
    </row>
    <row r="23" spans="1:5" x14ac:dyDescent="0.25">
      <c r="A23" s="2">
        <f t="shared" ca="1" si="0"/>
        <v>45928</v>
      </c>
      <c r="B23" t="str">
        <f t="shared" ca="1" si="1"/>
        <v>Packaging</v>
      </c>
      <c r="C23">
        <f t="shared" ca="1" si="2"/>
        <v>4385</v>
      </c>
      <c r="D23">
        <f t="shared" ca="1" si="3"/>
        <v>0</v>
      </c>
      <c r="E23">
        <f t="shared" ca="1" si="4"/>
        <v>0</v>
      </c>
    </row>
    <row r="24" spans="1:5" x14ac:dyDescent="0.25">
      <c r="A24" s="2">
        <f t="shared" ca="1" si="0"/>
        <v>45854</v>
      </c>
      <c r="B24" t="str">
        <f t="shared" ca="1" si="1"/>
        <v>Chemicals</v>
      </c>
      <c r="C24">
        <f t="shared" ca="1" si="2"/>
        <v>4495</v>
      </c>
      <c r="D24">
        <f t="shared" ca="1" si="3"/>
        <v>0</v>
      </c>
      <c r="E24">
        <f t="shared" ca="1" si="4"/>
        <v>0</v>
      </c>
    </row>
    <row r="25" spans="1:5" x14ac:dyDescent="0.25">
      <c r="A25" s="2">
        <f t="shared" ca="1" si="0"/>
        <v>45832</v>
      </c>
      <c r="B25" t="str">
        <f t="shared" ca="1" si="1"/>
        <v>Plastic</v>
      </c>
      <c r="C25">
        <f t="shared" ca="1" si="2"/>
        <v>2847</v>
      </c>
      <c r="D25">
        <f t="shared" ca="1" si="3"/>
        <v>0</v>
      </c>
      <c r="E25">
        <f t="shared" ca="1" si="4"/>
        <v>0</v>
      </c>
    </row>
    <row r="26" spans="1:5" x14ac:dyDescent="0.25">
      <c r="A26" s="2">
        <f t="shared" ca="1" si="0"/>
        <v>45831</v>
      </c>
      <c r="B26" t="str">
        <f t="shared" ca="1" si="1"/>
        <v>Plastic</v>
      </c>
      <c r="C26">
        <f t="shared" ca="1" si="2"/>
        <v>3706</v>
      </c>
      <c r="D26">
        <f t="shared" ca="1" si="3"/>
        <v>0</v>
      </c>
      <c r="E26">
        <f t="shared" ca="1" si="4"/>
        <v>0</v>
      </c>
    </row>
    <row r="27" spans="1:5" x14ac:dyDescent="0.25">
      <c r="A27" s="2">
        <f t="shared" ca="1" si="0"/>
        <v>45901</v>
      </c>
      <c r="B27" t="str">
        <f t="shared" ca="1" si="1"/>
        <v>Packaging</v>
      </c>
      <c r="C27">
        <f t="shared" ca="1" si="2"/>
        <v>3693</v>
      </c>
      <c r="D27">
        <f t="shared" ca="1" si="3"/>
        <v>0</v>
      </c>
      <c r="E27">
        <f t="shared" ca="1" si="4"/>
        <v>0</v>
      </c>
    </row>
    <row r="28" spans="1:5" x14ac:dyDescent="0.25">
      <c r="A28" s="2">
        <f t="shared" ca="1" si="0"/>
        <v>45798</v>
      </c>
      <c r="B28" t="str">
        <f t="shared" ca="1" si="1"/>
        <v>Steel</v>
      </c>
      <c r="C28">
        <f t="shared" ca="1" si="2"/>
        <v>4272</v>
      </c>
      <c r="D28">
        <f t="shared" ca="1" si="3"/>
        <v>0</v>
      </c>
      <c r="E28">
        <f t="shared" ca="1" si="4"/>
        <v>0</v>
      </c>
    </row>
    <row r="29" spans="1:5" x14ac:dyDescent="0.25">
      <c r="A29" s="2">
        <f t="shared" ca="1" si="0"/>
        <v>45800</v>
      </c>
      <c r="B29" t="str">
        <f t="shared" ca="1" si="1"/>
        <v>Plastic</v>
      </c>
      <c r="C29">
        <f t="shared" ca="1" si="2"/>
        <v>1010</v>
      </c>
      <c r="D29">
        <f t="shared" ca="1" si="3"/>
        <v>3</v>
      </c>
      <c r="E29">
        <f t="shared" ca="1" si="4"/>
        <v>151.5</v>
      </c>
    </row>
    <row r="30" spans="1:5" x14ac:dyDescent="0.25">
      <c r="A30" s="2">
        <f t="shared" ca="1" si="0"/>
        <v>45912</v>
      </c>
      <c r="B30" t="str">
        <f t="shared" ca="1" si="1"/>
        <v>Chemicals</v>
      </c>
      <c r="C30">
        <f t="shared" ca="1" si="2"/>
        <v>3871</v>
      </c>
      <c r="D30">
        <f t="shared" ca="1" si="3"/>
        <v>0</v>
      </c>
      <c r="E30">
        <f t="shared" ca="1" si="4"/>
        <v>0</v>
      </c>
    </row>
    <row r="31" spans="1:5" x14ac:dyDescent="0.25">
      <c r="A31" s="2">
        <f t="shared" ca="1" si="0"/>
        <v>45923</v>
      </c>
      <c r="B31" t="str">
        <f t="shared" ca="1" si="1"/>
        <v>Plastic</v>
      </c>
      <c r="C31">
        <f t="shared" ca="1" si="2"/>
        <v>2271</v>
      </c>
      <c r="D31">
        <f t="shared" ca="1" si="3"/>
        <v>0</v>
      </c>
      <c r="E31">
        <f t="shared" ca="1" si="4"/>
        <v>0</v>
      </c>
    </row>
    <row r="32" spans="1:5" x14ac:dyDescent="0.25">
      <c r="A32" s="2">
        <f t="shared" ca="1" si="0"/>
        <v>45807</v>
      </c>
      <c r="B32" t="str">
        <f t="shared" ca="1" si="1"/>
        <v>Chemicals</v>
      </c>
      <c r="C32">
        <f t="shared" ca="1" si="2"/>
        <v>4076</v>
      </c>
      <c r="D32">
        <f t="shared" ca="1" si="3"/>
        <v>3</v>
      </c>
      <c r="E32">
        <f t="shared" ca="1" si="4"/>
        <v>611.4</v>
      </c>
    </row>
    <row r="33" spans="1:5" x14ac:dyDescent="0.25">
      <c r="A33" s="2">
        <f t="shared" ca="1" si="0"/>
        <v>45905</v>
      </c>
      <c r="B33" t="str">
        <f t="shared" ca="1" si="1"/>
        <v>Chemicals</v>
      </c>
      <c r="C33">
        <f t="shared" ca="1" si="2"/>
        <v>1236</v>
      </c>
      <c r="D33">
        <f t="shared" ca="1" si="3"/>
        <v>0</v>
      </c>
      <c r="E33">
        <f t="shared" ca="1" si="4"/>
        <v>0</v>
      </c>
    </row>
    <row r="34" spans="1:5" x14ac:dyDescent="0.25">
      <c r="A34" s="2">
        <f t="shared" ca="1" si="0"/>
        <v>45917</v>
      </c>
      <c r="B34" t="str">
        <f t="shared" ca="1" si="1"/>
        <v>Packaging</v>
      </c>
      <c r="C34">
        <f t="shared" ca="1" si="2"/>
        <v>4986</v>
      </c>
      <c r="D34">
        <f t="shared" ca="1" si="3"/>
        <v>6</v>
      </c>
      <c r="E34">
        <f t="shared" ca="1" si="4"/>
        <v>1495.8000000000002</v>
      </c>
    </row>
    <row r="35" spans="1:5" x14ac:dyDescent="0.25">
      <c r="A35" s="2">
        <f t="shared" ca="1" si="0"/>
        <v>45789</v>
      </c>
      <c r="B35" t="str">
        <f t="shared" ca="1" si="1"/>
        <v>Steel</v>
      </c>
      <c r="C35">
        <f t="shared" ca="1" si="2"/>
        <v>1735</v>
      </c>
      <c r="D35">
        <f t="shared" ca="1" si="3"/>
        <v>0</v>
      </c>
      <c r="E35">
        <f t="shared" ca="1" si="4"/>
        <v>0</v>
      </c>
    </row>
    <row r="36" spans="1:5" x14ac:dyDescent="0.25">
      <c r="A36" s="2">
        <f t="shared" ca="1" si="0"/>
        <v>45862</v>
      </c>
      <c r="B36" t="str">
        <f t="shared" ca="1" si="1"/>
        <v>Plastic</v>
      </c>
      <c r="C36">
        <f t="shared" ca="1" si="2"/>
        <v>2922</v>
      </c>
      <c r="D36">
        <f t="shared" ca="1" si="3"/>
        <v>3</v>
      </c>
      <c r="E36">
        <f t="shared" ca="1" si="4"/>
        <v>438.3</v>
      </c>
    </row>
    <row r="37" spans="1:5" x14ac:dyDescent="0.25">
      <c r="A37" s="2">
        <f t="shared" ca="1" si="0"/>
        <v>45843</v>
      </c>
      <c r="B37" t="str">
        <f t="shared" ca="1" si="1"/>
        <v>Packaging</v>
      </c>
      <c r="C37">
        <f t="shared" ca="1" si="2"/>
        <v>2654</v>
      </c>
      <c r="D37">
        <f t="shared" ca="1" si="3"/>
        <v>0</v>
      </c>
      <c r="E37">
        <f t="shared" ca="1" si="4"/>
        <v>0</v>
      </c>
    </row>
    <row r="38" spans="1:5" x14ac:dyDescent="0.25">
      <c r="A38" s="2">
        <f t="shared" ca="1" si="0"/>
        <v>45829</v>
      </c>
      <c r="B38" t="str">
        <f t="shared" ca="1" si="1"/>
        <v>Steel</v>
      </c>
      <c r="C38">
        <f t="shared" ca="1" si="2"/>
        <v>1495</v>
      </c>
      <c r="D38">
        <f t="shared" ca="1" si="3"/>
        <v>0</v>
      </c>
      <c r="E38">
        <f t="shared" ca="1" si="4"/>
        <v>0</v>
      </c>
    </row>
    <row r="39" spans="1:5" x14ac:dyDescent="0.25">
      <c r="A39" s="2">
        <f t="shared" ca="1" si="0"/>
        <v>45788</v>
      </c>
      <c r="B39" t="str">
        <f t="shared" ca="1" si="1"/>
        <v>Chemicals</v>
      </c>
      <c r="C39">
        <f t="shared" ca="1" si="2"/>
        <v>4319</v>
      </c>
      <c r="D39">
        <f t="shared" ca="1" si="3"/>
        <v>2</v>
      </c>
      <c r="E39">
        <f t="shared" ca="1" si="4"/>
        <v>431.90000000000003</v>
      </c>
    </row>
    <row r="40" spans="1:5" x14ac:dyDescent="0.25">
      <c r="A40" s="2">
        <f t="shared" ca="1" si="0"/>
        <v>45888</v>
      </c>
      <c r="B40" t="str">
        <f t="shared" ca="1" si="1"/>
        <v>Packaging</v>
      </c>
      <c r="C40">
        <f t="shared" ca="1" si="2"/>
        <v>3149</v>
      </c>
      <c r="D40">
        <f t="shared" ca="1" si="3"/>
        <v>0</v>
      </c>
      <c r="E40">
        <f t="shared" ca="1" si="4"/>
        <v>0</v>
      </c>
    </row>
    <row r="41" spans="1:5" x14ac:dyDescent="0.25">
      <c r="A41" s="2">
        <f t="shared" ca="1" si="0"/>
        <v>45947</v>
      </c>
      <c r="B41" t="str">
        <f t="shared" ca="1" si="1"/>
        <v>Steel</v>
      </c>
      <c r="C41">
        <f t="shared" ca="1" si="2"/>
        <v>2238</v>
      </c>
      <c r="D41">
        <f t="shared" ca="1" si="3"/>
        <v>0</v>
      </c>
      <c r="E41">
        <f t="shared" ca="1" si="4"/>
        <v>0</v>
      </c>
    </row>
    <row r="42" spans="1:5" x14ac:dyDescent="0.25">
      <c r="A42" s="2">
        <f t="shared" ca="1" si="0"/>
        <v>45861</v>
      </c>
      <c r="B42" t="str">
        <f t="shared" ca="1" si="1"/>
        <v>Chemicals</v>
      </c>
      <c r="C42">
        <f t="shared" ca="1" si="2"/>
        <v>1376</v>
      </c>
      <c r="D42">
        <f t="shared" ca="1" si="3"/>
        <v>0</v>
      </c>
      <c r="E42">
        <f t="shared" ca="1" si="4"/>
        <v>0</v>
      </c>
    </row>
    <row r="43" spans="1:5" x14ac:dyDescent="0.25">
      <c r="A43" s="2">
        <f t="shared" ca="1" si="0"/>
        <v>45943</v>
      </c>
      <c r="B43" t="str">
        <f t="shared" ca="1" si="1"/>
        <v>Steel</v>
      </c>
      <c r="C43">
        <f t="shared" ca="1" si="2"/>
        <v>4251</v>
      </c>
      <c r="D43">
        <f t="shared" ca="1" si="3"/>
        <v>3</v>
      </c>
      <c r="E43">
        <f t="shared" ca="1" si="4"/>
        <v>637.65000000000009</v>
      </c>
    </row>
    <row r="44" spans="1:5" x14ac:dyDescent="0.25">
      <c r="A44" s="2">
        <f t="shared" ca="1" si="0"/>
        <v>45925</v>
      </c>
      <c r="B44" t="str">
        <f t="shared" ca="1" si="1"/>
        <v>Chemicals</v>
      </c>
      <c r="C44">
        <f t="shared" ca="1" si="2"/>
        <v>1962</v>
      </c>
      <c r="D44">
        <f t="shared" ca="1" si="3"/>
        <v>6</v>
      </c>
      <c r="E44">
        <f t="shared" ca="1" si="4"/>
        <v>588.6</v>
      </c>
    </row>
    <row r="45" spans="1:5" x14ac:dyDescent="0.25">
      <c r="A45" s="2">
        <f t="shared" ca="1" si="0"/>
        <v>45836</v>
      </c>
      <c r="B45" t="str">
        <f t="shared" ca="1" si="1"/>
        <v>Steel</v>
      </c>
      <c r="C45">
        <f t="shared" ca="1" si="2"/>
        <v>1191</v>
      </c>
      <c r="D45">
        <f t="shared" ca="1" si="3"/>
        <v>0</v>
      </c>
      <c r="E45">
        <f t="shared" ca="1" si="4"/>
        <v>0</v>
      </c>
    </row>
    <row r="46" spans="1:5" x14ac:dyDescent="0.25">
      <c r="A46" s="2">
        <f t="shared" ca="1" si="0"/>
        <v>45915</v>
      </c>
      <c r="B46" t="str">
        <f t="shared" ca="1" si="1"/>
        <v>Steel</v>
      </c>
      <c r="C46">
        <f t="shared" ca="1" si="2"/>
        <v>2046</v>
      </c>
      <c r="D46">
        <f t="shared" ca="1" si="3"/>
        <v>8</v>
      </c>
      <c r="E46">
        <f t="shared" ca="1" si="4"/>
        <v>818.40000000000009</v>
      </c>
    </row>
    <row r="47" spans="1:5" x14ac:dyDescent="0.25">
      <c r="A47" s="2">
        <f t="shared" ca="1" si="0"/>
        <v>45913</v>
      </c>
      <c r="B47" t="str">
        <f t="shared" ca="1" si="1"/>
        <v>Plastic</v>
      </c>
      <c r="C47">
        <f t="shared" ca="1" si="2"/>
        <v>1981</v>
      </c>
      <c r="D47">
        <f t="shared" ca="1" si="3"/>
        <v>0</v>
      </c>
      <c r="E47">
        <f t="shared" ca="1" si="4"/>
        <v>0</v>
      </c>
    </row>
    <row r="48" spans="1:5" x14ac:dyDescent="0.25">
      <c r="A48" s="2">
        <f t="shared" ca="1" si="0"/>
        <v>45907</v>
      </c>
      <c r="B48" t="str">
        <f t="shared" ca="1" si="1"/>
        <v>Chemicals</v>
      </c>
      <c r="C48">
        <f t="shared" ca="1" si="2"/>
        <v>3668</v>
      </c>
      <c r="D48">
        <f t="shared" ca="1" si="3"/>
        <v>0</v>
      </c>
      <c r="E48">
        <f t="shared" ca="1" si="4"/>
        <v>0</v>
      </c>
    </row>
    <row r="49" spans="1:5" x14ac:dyDescent="0.25">
      <c r="A49" s="2">
        <f t="shared" ca="1" si="0"/>
        <v>45943</v>
      </c>
      <c r="B49" t="str">
        <f t="shared" ca="1" si="1"/>
        <v>Steel</v>
      </c>
      <c r="C49">
        <f t="shared" ca="1" si="2"/>
        <v>4921</v>
      </c>
      <c r="D49">
        <f t="shared" ca="1" si="3"/>
        <v>5</v>
      </c>
      <c r="E49">
        <f t="shared" ca="1" si="4"/>
        <v>1230.25</v>
      </c>
    </row>
    <row r="50" spans="1:5" x14ac:dyDescent="0.25">
      <c r="A50" s="2">
        <f t="shared" ca="1" si="0"/>
        <v>45894</v>
      </c>
      <c r="B50" t="str">
        <f t="shared" ca="1" si="1"/>
        <v>Plastic</v>
      </c>
      <c r="C50">
        <f t="shared" ca="1" si="2"/>
        <v>1596</v>
      </c>
      <c r="D50">
        <f t="shared" ca="1" si="3"/>
        <v>8</v>
      </c>
      <c r="E50">
        <f t="shared" ca="1" si="4"/>
        <v>638.40000000000009</v>
      </c>
    </row>
    <row r="51" spans="1:5" x14ac:dyDescent="0.25">
      <c r="A51" s="2">
        <f t="shared" ca="1" si="0"/>
        <v>45863</v>
      </c>
      <c r="B51" t="str">
        <f t="shared" ca="1" si="1"/>
        <v>Plastic</v>
      </c>
      <c r="C51">
        <f t="shared" ca="1" si="2"/>
        <v>2154</v>
      </c>
      <c r="D51">
        <f t="shared" ca="1" si="3"/>
        <v>0</v>
      </c>
      <c r="E51">
        <f t="shared" ca="1" si="4"/>
        <v>0</v>
      </c>
    </row>
    <row r="52" spans="1:5" x14ac:dyDescent="0.25">
      <c r="A52" s="2">
        <f t="shared" ca="1" si="0"/>
        <v>45857</v>
      </c>
      <c r="B52" t="str">
        <f t="shared" ca="1" si="1"/>
        <v>Steel</v>
      </c>
      <c r="C52">
        <f t="shared" ca="1" si="2"/>
        <v>1679</v>
      </c>
      <c r="D52">
        <f t="shared" ca="1" si="3"/>
        <v>2</v>
      </c>
      <c r="E52">
        <f t="shared" ca="1" si="4"/>
        <v>167.9</v>
      </c>
    </row>
    <row r="53" spans="1:5" x14ac:dyDescent="0.25">
      <c r="A53" s="2">
        <f t="shared" ca="1" si="0"/>
        <v>45958</v>
      </c>
      <c r="B53" t="str">
        <f t="shared" ca="1" si="1"/>
        <v>Steel</v>
      </c>
      <c r="C53">
        <f t="shared" ca="1" si="2"/>
        <v>2167</v>
      </c>
      <c r="D53">
        <f t="shared" ca="1" si="3"/>
        <v>0</v>
      </c>
      <c r="E53">
        <f t="shared" ca="1" si="4"/>
        <v>0</v>
      </c>
    </row>
    <row r="54" spans="1:5" x14ac:dyDescent="0.25">
      <c r="A54" s="2">
        <f t="shared" ca="1" si="0"/>
        <v>45788</v>
      </c>
      <c r="B54" t="str">
        <f t="shared" ca="1" si="1"/>
        <v>Chemicals</v>
      </c>
      <c r="C54">
        <f t="shared" ca="1" si="2"/>
        <v>2502</v>
      </c>
      <c r="D54">
        <f t="shared" ca="1" si="3"/>
        <v>0</v>
      </c>
      <c r="E54">
        <f t="shared" ca="1" si="4"/>
        <v>0</v>
      </c>
    </row>
    <row r="55" spans="1:5" x14ac:dyDescent="0.25">
      <c r="A55" s="2">
        <f t="shared" ca="1" si="0"/>
        <v>45954</v>
      </c>
      <c r="B55" t="str">
        <f t="shared" ca="1" si="1"/>
        <v>Steel</v>
      </c>
      <c r="C55">
        <f t="shared" ca="1" si="2"/>
        <v>4408</v>
      </c>
      <c r="D55">
        <f t="shared" ca="1" si="3"/>
        <v>4</v>
      </c>
      <c r="E55">
        <f t="shared" ca="1" si="4"/>
        <v>881.6</v>
      </c>
    </row>
    <row r="56" spans="1:5" x14ac:dyDescent="0.25">
      <c r="A56" s="2">
        <f t="shared" ca="1" si="0"/>
        <v>45853</v>
      </c>
      <c r="B56" t="str">
        <f t="shared" ca="1" si="1"/>
        <v>Packaging</v>
      </c>
      <c r="C56">
        <f t="shared" ca="1" si="2"/>
        <v>2538</v>
      </c>
      <c r="D56">
        <f t="shared" ca="1" si="3"/>
        <v>0</v>
      </c>
      <c r="E56">
        <f t="shared" ca="1" si="4"/>
        <v>0</v>
      </c>
    </row>
    <row r="57" spans="1:5" x14ac:dyDescent="0.25">
      <c r="A57" s="2">
        <f t="shared" ca="1" si="0"/>
        <v>45959</v>
      </c>
      <c r="B57" t="str">
        <f t="shared" ca="1" si="1"/>
        <v>Steel</v>
      </c>
      <c r="C57">
        <f t="shared" ca="1" si="2"/>
        <v>1257</v>
      </c>
      <c r="D57">
        <f t="shared" ca="1" si="3"/>
        <v>0</v>
      </c>
      <c r="E57">
        <f t="shared" ca="1" si="4"/>
        <v>0</v>
      </c>
    </row>
    <row r="58" spans="1:5" x14ac:dyDescent="0.25">
      <c r="A58" s="2">
        <f t="shared" ca="1" si="0"/>
        <v>45855</v>
      </c>
      <c r="B58" t="str">
        <f t="shared" ca="1" si="1"/>
        <v>Packaging</v>
      </c>
      <c r="C58">
        <f t="shared" ca="1" si="2"/>
        <v>4249</v>
      </c>
      <c r="D58">
        <f t="shared" ca="1" si="3"/>
        <v>6</v>
      </c>
      <c r="E58">
        <f t="shared" ca="1" si="4"/>
        <v>1274.7</v>
      </c>
    </row>
    <row r="59" spans="1:5" x14ac:dyDescent="0.25">
      <c r="A59" s="2">
        <f t="shared" ca="1" si="0"/>
        <v>45799</v>
      </c>
      <c r="B59" t="str">
        <f t="shared" ca="1" si="1"/>
        <v>Steel</v>
      </c>
      <c r="C59">
        <f t="shared" ca="1" si="2"/>
        <v>4442</v>
      </c>
      <c r="D59">
        <f t="shared" ca="1" si="3"/>
        <v>2</v>
      </c>
      <c r="E59">
        <f t="shared" ca="1" si="4"/>
        <v>444.20000000000005</v>
      </c>
    </row>
    <row r="60" spans="1:5" x14ac:dyDescent="0.25">
      <c r="A60" s="2">
        <f t="shared" ca="1" si="0"/>
        <v>45876</v>
      </c>
      <c r="B60" t="str">
        <f t="shared" ca="1" si="1"/>
        <v>Packaging</v>
      </c>
      <c r="C60">
        <f t="shared" ca="1" si="2"/>
        <v>4782</v>
      </c>
      <c r="D60">
        <f t="shared" ca="1" si="3"/>
        <v>4</v>
      </c>
      <c r="E60">
        <f t="shared" ca="1" si="4"/>
        <v>956.40000000000009</v>
      </c>
    </row>
    <row r="61" spans="1:5" x14ac:dyDescent="0.25">
      <c r="A61" s="2">
        <f t="shared" ca="1" si="0"/>
        <v>45787</v>
      </c>
      <c r="B61" t="str">
        <f t="shared" ca="1" si="1"/>
        <v>Steel</v>
      </c>
      <c r="C61">
        <f t="shared" ca="1" si="2"/>
        <v>3411</v>
      </c>
      <c r="D61">
        <f t="shared" ca="1" si="3"/>
        <v>8</v>
      </c>
      <c r="E61">
        <f t="shared" ca="1" si="4"/>
        <v>1364.4</v>
      </c>
    </row>
    <row r="62" spans="1:5" x14ac:dyDescent="0.25">
      <c r="A62" s="2">
        <f t="shared" ca="1" si="0"/>
        <v>45802</v>
      </c>
      <c r="B62" t="str">
        <f t="shared" ca="1" si="1"/>
        <v>Packaging</v>
      </c>
      <c r="C62">
        <f t="shared" ca="1" si="2"/>
        <v>1476</v>
      </c>
      <c r="D62">
        <f t="shared" ca="1" si="3"/>
        <v>7</v>
      </c>
      <c r="E62">
        <f t="shared" ca="1" si="4"/>
        <v>516.6</v>
      </c>
    </row>
    <row r="63" spans="1:5" x14ac:dyDescent="0.25">
      <c r="A63" s="2">
        <f t="shared" ca="1" si="0"/>
        <v>45890</v>
      </c>
      <c r="B63" t="str">
        <f t="shared" ca="1" si="1"/>
        <v>Plastic</v>
      </c>
      <c r="C63">
        <f t="shared" ca="1" si="2"/>
        <v>4083</v>
      </c>
      <c r="D63">
        <f t="shared" ca="1" si="3"/>
        <v>10</v>
      </c>
      <c r="E63">
        <f t="shared" ca="1" si="4"/>
        <v>2041.5</v>
      </c>
    </row>
    <row r="64" spans="1:5" x14ac:dyDescent="0.25">
      <c r="A64" s="2">
        <f t="shared" ca="1" si="0"/>
        <v>45900</v>
      </c>
      <c r="B64" t="str">
        <f t="shared" ca="1" si="1"/>
        <v>Plastic</v>
      </c>
      <c r="C64">
        <f t="shared" ca="1" si="2"/>
        <v>1110</v>
      </c>
      <c r="D64">
        <f t="shared" ca="1" si="3"/>
        <v>0</v>
      </c>
      <c r="E64">
        <f t="shared" ca="1" si="4"/>
        <v>0</v>
      </c>
    </row>
    <row r="65" spans="1:5" x14ac:dyDescent="0.25">
      <c r="A65" s="2">
        <f t="shared" ca="1" si="0"/>
        <v>45805</v>
      </c>
      <c r="B65" t="str">
        <f t="shared" ca="1" si="1"/>
        <v>Chemicals</v>
      </c>
      <c r="C65">
        <f t="shared" ca="1" si="2"/>
        <v>2945</v>
      </c>
      <c r="D65">
        <f t="shared" ca="1" si="3"/>
        <v>0</v>
      </c>
      <c r="E65">
        <f t="shared" ca="1" si="4"/>
        <v>0</v>
      </c>
    </row>
    <row r="66" spans="1:5" x14ac:dyDescent="0.25">
      <c r="A66" s="2">
        <f t="shared" ref="A66:A129" ca="1" si="5">TODAY()-RANDBETWEEN(1,180)</f>
        <v>45861</v>
      </c>
      <c r="B66" t="str">
        <f t="shared" ref="B66:B129" ca="1" si="6">CHOOSE(RANDBETWEEN(1,4),"Steel","Plastic","Chemicals","Packaging")</f>
        <v>Plastic</v>
      </c>
      <c r="C66">
        <f t="shared" ref="C66:C129" ca="1" si="7">ROUND(RANDBETWEEN(1000,5000), 0)</f>
        <v>4890</v>
      </c>
      <c r="D66">
        <f t="shared" ref="D66:D129" ca="1" si="8">ROUND(CHOOSE(RANDBETWEEN(1,3), 0, 0, RANDBETWEEN(1,10)),0)</f>
        <v>8</v>
      </c>
      <c r="E66">
        <f t="shared" ref="E66:E129" ca="1" si="9">IF(D66&gt;0,D66*C66*0.05, 0)</f>
        <v>1956</v>
      </c>
    </row>
    <row r="67" spans="1:5" x14ac:dyDescent="0.25">
      <c r="A67" s="2">
        <f t="shared" ca="1" si="5"/>
        <v>45804</v>
      </c>
      <c r="B67" t="str">
        <f t="shared" ca="1" si="6"/>
        <v>Chemicals</v>
      </c>
      <c r="C67">
        <f t="shared" ca="1" si="7"/>
        <v>3842</v>
      </c>
      <c r="D67">
        <f t="shared" ca="1" si="8"/>
        <v>8</v>
      </c>
      <c r="E67">
        <f t="shared" ca="1" si="9"/>
        <v>1536.8000000000002</v>
      </c>
    </row>
    <row r="68" spans="1:5" x14ac:dyDescent="0.25">
      <c r="A68" s="2">
        <f t="shared" ca="1" si="5"/>
        <v>45940</v>
      </c>
      <c r="B68" t="str">
        <f t="shared" ca="1" si="6"/>
        <v>Plastic</v>
      </c>
      <c r="C68">
        <f t="shared" ca="1" si="7"/>
        <v>4557</v>
      </c>
      <c r="D68">
        <f t="shared" ca="1" si="8"/>
        <v>0</v>
      </c>
      <c r="E68">
        <f t="shared" ca="1" si="9"/>
        <v>0</v>
      </c>
    </row>
    <row r="69" spans="1:5" x14ac:dyDescent="0.25">
      <c r="A69" s="2">
        <f t="shared" ca="1" si="5"/>
        <v>45831</v>
      </c>
      <c r="B69" t="str">
        <f t="shared" ca="1" si="6"/>
        <v>Chemicals</v>
      </c>
      <c r="C69">
        <f t="shared" ca="1" si="7"/>
        <v>4730</v>
      </c>
      <c r="D69">
        <f t="shared" ca="1" si="8"/>
        <v>0</v>
      </c>
      <c r="E69">
        <f t="shared" ca="1" si="9"/>
        <v>0</v>
      </c>
    </row>
    <row r="70" spans="1:5" x14ac:dyDescent="0.25">
      <c r="A70" s="2">
        <f t="shared" ca="1" si="5"/>
        <v>45792</v>
      </c>
      <c r="B70" t="str">
        <f t="shared" ca="1" si="6"/>
        <v>Plastic</v>
      </c>
      <c r="C70">
        <f t="shared" ca="1" si="7"/>
        <v>3609</v>
      </c>
      <c r="D70">
        <f t="shared" ca="1" si="8"/>
        <v>0</v>
      </c>
      <c r="E70">
        <f t="shared" ca="1" si="9"/>
        <v>0</v>
      </c>
    </row>
    <row r="71" spans="1:5" x14ac:dyDescent="0.25">
      <c r="A71" s="2">
        <f t="shared" ca="1" si="5"/>
        <v>45882</v>
      </c>
      <c r="B71" t="str">
        <f t="shared" ca="1" si="6"/>
        <v>Packaging</v>
      </c>
      <c r="C71">
        <f t="shared" ca="1" si="7"/>
        <v>4935</v>
      </c>
      <c r="D71">
        <f t="shared" ca="1" si="8"/>
        <v>9</v>
      </c>
      <c r="E71">
        <f t="shared" ca="1" si="9"/>
        <v>2220.75</v>
      </c>
    </row>
    <row r="72" spans="1:5" x14ac:dyDescent="0.25">
      <c r="A72" s="2">
        <f t="shared" ca="1" si="5"/>
        <v>45813</v>
      </c>
      <c r="B72" t="str">
        <f t="shared" ca="1" si="6"/>
        <v>Chemicals</v>
      </c>
      <c r="C72">
        <f t="shared" ca="1" si="7"/>
        <v>2099</v>
      </c>
      <c r="D72">
        <f t="shared" ca="1" si="8"/>
        <v>0</v>
      </c>
      <c r="E72">
        <f t="shared" ca="1" si="9"/>
        <v>0</v>
      </c>
    </row>
    <row r="73" spans="1:5" x14ac:dyDescent="0.25">
      <c r="A73" s="2">
        <f t="shared" ca="1" si="5"/>
        <v>45841</v>
      </c>
      <c r="B73" t="str">
        <f t="shared" ca="1" si="6"/>
        <v>Packaging</v>
      </c>
      <c r="C73">
        <f t="shared" ca="1" si="7"/>
        <v>4798</v>
      </c>
      <c r="D73">
        <f t="shared" ca="1" si="8"/>
        <v>0</v>
      </c>
      <c r="E73">
        <f t="shared" ca="1" si="9"/>
        <v>0</v>
      </c>
    </row>
    <row r="74" spans="1:5" x14ac:dyDescent="0.25">
      <c r="A74" s="2">
        <f t="shared" ca="1" si="5"/>
        <v>45807</v>
      </c>
      <c r="B74" t="str">
        <f t="shared" ca="1" si="6"/>
        <v>Packaging</v>
      </c>
      <c r="C74">
        <f t="shared" ca="1" si="7"/>
        <v>2919</v>
      </c>
      <c r="D74">
        <f t="shared" ca="1" si="8"/>
        <v>0</v>
      </c>
      <c r="E74">
        <f t="shared" ca="1" si="9"/>
        <v>0</v>
      </c>
    </row>
    <row r="75" spans="1:5" x14ac:dyDescent="0.25">
      <c r="A75" s="2">
        <f t="shared" ca="1" si="5"/>
        <v>45893</v>
      </c>
      <c r="B75" t="str">
        <f t="shared" ca="1" si="6"/>
        <v>Packaging</v>
      </c>
      <c r="C75">
        <f t="shared" ca="1" si="7"/>
        <v>4483</v>
      </c>
      <c r="D75">
        <f t="shared" ca="1" si="8"/>
        <v>7</v>
      </c>
      <c r="E75">
        <f t="shared" ca="1" si="9"/>
        <v>1569.0500000000002</v>
      </c>
    </row>
    <row r="76" spans="1:5" x14ac:dyDescent="0.25">
      <c r="A76" s="2">
        <f t="shared" ca="1" si="5"/>
        <v>45897</v>
      </c>
      <c r="B76" t="str">
        <f t="shared" ca="1" si="6"/>
        <v>Plastic</v>
      </c>
      <c r="C76">
        <f t="shared" ca="1" si="7"/>
        <v>4758</v>
      </c>
      <c r="D76">
        <f t="shared" ca="1" si="8"/>
        <v>1</v>
      </c>
      <c r="E76">
        <f t="shared" ca="1" si="9"/>
        <v>237.9</v>
      </c>
    </row>
    <row r="77" spans="1:5" x14ac:dyDescent="0.25">
      <c r="A77" s="2">
        <f t="shared" ca="1" si="5"/>
        <v>45896</v>
      </c>
      <c r="B77" t="str">
        <f t="shared" ca="1" si="6"/>
        <v>Packaging</v>
      </c>
      <c r="C77">
        <f t="shared" ca="1" si="7"/>
        <v>4393</v>
      </c>
      <c r="D77">
        <f t="shared" ca="1" si="8"/>
        <v>0</v>
      </c>
      <c r="E77">
        <f t="shared" ca="1" si="9"/>
        <v>0</v>
      </c>
    </row>
    <row r="78" spans="1:5" x14ac:dyDescent="0.25">
      <c r="A78" s="2">
        <f t="shared" ca="1" si="5"/>
        <v>45910</v>
      </c>
      <c r="B78" t="str">
        <f t="shared" ca="1" si="6"/>
        <v>Packaging</v>
      </c>
      <c r="C78">
        <f t="shared" ca="1" si="7"/>
        <v>3183</v>
      </c>
      <c r="D78">
        <f t="shared" ca="1" si="8"/>
        <v>0</v>
      </c>
      <c r="E78">
        <f t="shared" ca="1" si="9"/>
        <v>0</v>
      </c>
    </row>
    <row r="79" spans="1:5" x14ac:dyDescent="0.25">
      <c r="A79" s="2">
        <f t="shared" ca="1" si="5"/>
        <v>45918</v>
      </c>
      <c r="B79" t="str">
        <f t="shared" ca="1" si="6"/>
        <v>Packaging</v>
      </c>
      <c r="C79">
        <f t="shared" ca="1" si="7"/>
        <v>2078</v>
      </c>
      <c r="D79">
        <f t="shared" ca="1" si="8"/>
        <v>0</v>
      </c>
      <c r="E79">
        <f t="shared" ca="1" si="9"/>
        <v>0</v>
      </c>
    </row>
    <row r="80" spans="1:5" x14ac:dyDescent="0.25">
      <c r="A80" s="2">
        <f t="shared" ca="1" si="5"/>
        <v>45872</v>
      </c>
      <c r="B80" t="str">
        <f t="shared" ca="1" si="6"/>
        <v>Packaging</v>
      </c>
      <c r="C80">
        <f t="shared" ca="1" si="7"/>
        <v>4685</v>
      </c>
      <c r="D80">
        <f t="shared" ca="1" si="8"/>
        <v>0</v>
      </c>
      <c r="E80">
        <f t="shared" ca="1" si="9"/>
        <v>0</v>
      </c>
    </row>
    <row r="81" spans="1:5" x14ac:dyDescent="0.25">
      <c r="A81" s="2">
        <f t="shared" ca="1" si="5"/>
        <v>45919</v>
      </c>
      <c r="B81" t="str">
        <f t="shared" ca="1" si="6"/>
        <v>Steel</v>
      </c>
      <c r="C81">
        <f t="shared" ca="1" si="7"/>
        <v>2656</v>
      </c>
      <c r="D81">
        <f t="shared" ca="1" si="8"/>
        <v>0</v>
      </c>
      <c r="E81">
        <f t="shared" ca="1" si="9"/>
        <v>0</v>
      </c>
    </row>
    <row r="82" spans="1:5" x14ac:dyDescent="0.25">
      <c r="A82" s="2">
        <f t="shared" ca="1" si="5"/>
        <v>45923</v>
      </c>
      <c r="B82" t="str">
        <f t="shared" ca="1" si="6"/>
        <v>Steel</v>
      </c>
      <c r="C82">
        <f t="shared" ca="1" si="7"/>
        <v>4134</v>
      </c>
      <c r="D82">
        <f t="shared" ca="1" si="8"/>
        <v>10</v>
      </c>
      <c r="E82">
        <f t="shared" ca="1" si="9"/>
        <v>2067</v>
      </c>
    </row>
    <row r="83" spans="1:5" x14ac:dyDescent="0.25">
      <c r="A83" s="2">
        <f t="shared" ca="1" si="5"/>
        <v>45812</v>
      </c>
      <c r="B83" t="str">
        <f t="shared" ca="1" si="6"/>
        <v>Plastic</v>
      </c>
      <c r="C83">
        <f t="shared" ca="1" si="7"/>
        <v>2189</v>
      </c>
      <c r="D83">
        <f t="shared" ca="1" si="8"/>
        <v>0</v>
      </c>
      <c r="E83">
        <f t="shared" ca="1" si="9"/>
        <v>0</v>
      </c>
    </row>
    <row r="84" spans="1:5" x14ac:dyDescent="0.25">
      <c r="A84" s="2">
        <f t="shared" ca="1" si="5"/>
        <v>45830</v>
      </c>
      <c r="B84" t="str">
        <f t="shared" ca="1" si="6"/>
        <v>Plastic</v>
      </c>
      <c r="C84">
        <f t="shared" ca="1" si="7"/>
        <v>1522</v>
      </c>
      <c r="D84">
        <f t="shared" ca="1" si="8"/>
        <v>7</v>
      </c>
      <c r="E84">
        <f t="shared" ca="1" si="9"/>
        <v>532.70000000000005</v>
      </c>
    </row>
    <row r="85" spans="1:5" x14ac:dyDescent="0.25">
      <c r="A85" s="2">
        <f t="shared" ca="1" si="5"/>
        <v>45940</v>
      </c>
      <c r="B85" t="str">
        <f t="shared" ca="1" si="6"/>
        <v>Chemicals</v>
      </c>
      <c r="C85">
        <f t="shared" ca="1" si="7"/>
        <v>3389</v>
      </c>
      <c r="D85">
        <f t="shared" ca="1" si="8"/>
        <v>0</v>
      </c>
      <c r="E85">
        <f t="shared" ca="1" si="9"/>
        <v>0</v>
      </c>
    </row>
    <row r="86" spans="1:5" x14ac:dyDescent="0.25">
      <c r="A86" s="2">
        <f t="shared" ca="1" si="5"/>
        <v>45786</v>
      </c>
      <c r="B86" t="str">
        <f t="shared" ca="1" si="6"/>
        <v>Packaging</v>
      </c>
      <c r="C86">
        <f t="shared" ca="1" si="7"/>
        <v>1056</v>
      </c>
      <c r="D86">
        <f t="shared" ca="1" si="8"/>
        <v>0</v>
      </c>
      <c r="E86">
        <f t="shared" ca="1" si="9"/>
        <v>0</v>
      </c>
    </row>
    <row r="87" spans="1:5" x14ac:dyDescent="0.25">
      <c r="A87" s="2">
        <f t="shared" ca="1" si="5"/>
        <v>45871</v>
      </c>
      <c r="B87" t="str">
        <f t="shared" ca="1" si="6"/>
        <v>Plastic</v>
      </c>
      <c r="C87">
        <f t="shared" ca="1" si="7"/>
        <v>4447</v>
      </c>
      <c r="D87">
        <f t="shared" ca="1" si="8"/>
        <v>2</v>
      </c>
      <c r="E87">
        <f t="shared" ca="1" si="9"/>
        <v>444.70000000000005</v>
      </c>
    </row>
    <row r="88" spans="1:5" x14ac:dyDescent="0.25">
      <c r="A88" s="2">
        <f t="shared" ca="1" si="5"/>
        <v>45926</v>
      </c>
      <c r="B88" t="str">
        <f t="shared" ca="1" si="6"/>
        <v>Packaging</v>
      </c>
      <c r="C88">
        <f t="shared" ca="1" si="7"/>
        <v>3371</v>
      </c>
      <c r="D88">
        <f t="shared" ca="1" si="8"/>
        <v>0</v>
      </c>
      <c r="E88">
        <f t="shared" ca="1" si="9"/>
        <v>0</v>
      </c>
    </row>
    <row r="89" spans="1:5" x14ac:dyDescent="0.25">
      <c r="A89" s="2">
        <f t="shared" ca="1" si="5"/>
        <v>45881</v>
      </c>
      <c r="B89" t="str">
        <f t="shared" ca="1" si="6"/>
        <v>Chemicals</v>
      </c>
      <c r="C89">
        <f t="shared" ca="1" si="7"/>
        <v>4188</v>
      </c>
      <c r="D89">
        <f t="shared" ca="1" si="8"/>
        <v>0</v>
      </c>
      <c r="E89">
        <f t="shared" ca="1" si="9"/>
        <v>0</v>
      </c>
    </row>
    <row r="90" spans="1:5" x14ac:dyDescent="0.25">
      <c r="A90" s="2">
        <f t="shared" ca="1" si="5"/>
        <v>45936</v>
      </c>
      <c r="B90" t="str">
        <f t="shared" ca="1" si="6"/>
        <v>Plastic</v>
      </c>
      <c r="C90">
        <f t="shared" ca="1" si="7"/>
        <v>1142</v>
      </c>
      <c r="D90">
        <f t="shared" ca="1" si="8"/>
        <v>0</v>
      </c>
      <c r="E90">
        <f t="shared" ca="1" si="9"/>
        <v>0</v>
      </c>
    </row>
    <row r="91" spans="1:5" x14ac:dyDescent="0.25">
      <c r="A91" s="2">
        <f t="shared" ca="1" si="5"/>
        <v>45855</v>
      </c>
      <c r="B91" t="str">
        <f t="shared" ca="1" si="6"/>
        <v>Packaging</v>
      </c>
      <c r="C91">
        <f t="shared" ca="1" si="7"/>
        <v>4708</v>
      </c>
      <c r="D91">
        <f t="shared" ca="1" si="8"/>
        <v>0</v>
      </c>
      <c r="E91">
        <f t="shared" ca="1" si="9"/>
        <v>0</v>
      </c>
    </row>
    <row r="92" spans="1:5" x14ac:dyDescent="0.25">
      <c r="A92" s="2">
        <f t="shared" ca="1" si="5"/>
        <v>45939</v>
      </c>
      <c r="B92" t="str">
        <f t="shared" ca="1" si="6"/>
        <v>Steel</v>
      </c>
      <c r="C92">
        <f t="shared" ca="1" si="7"/>
        <v>2585</v>
      </c>
      <c r="D92">
        <f t="shared" ca="1" si="8"/>
        <v>6</v>
      </c>
      <c r="E92">
        <f t="shared" ca="1" si="9"/>
        <v>775.5</v>
      </c>
    </row>
    <row r="93" spans="1:5" x14ac:dyDescent="0.25">
      <c r="A93" s="2">
        <f t="shared" ca="1" si="5"/>
        <v>45941</v>
      </c>
      <c r="B93" t="str">
        <f t="shared" ca="1" si="6"/>
        <v>Packaging</v>
      </c>
      <c r="C93">
        <f t="shared" ca="1" si="7"/>
        <v>4424</v>
      </c>
      <c r="D93">
        <f t="shared" ca="1" si="8"/>
        <v>0</v>
      </c>
      <c r="E93">
        <f t="shared" ca="1" si="9"/>
        <v>0</v>
      </c>
    </row>
    <row r="94" spans="1:5" x14ac:dyDescent="0.25">
      <c r="A94" s="2">
        <f t="shared" ca="1" si="5"/>
        <v>45937</v>
      </c>
      <c r="B94" t="str">
        <f t="shared" ca="1" si="6"/>
        <v>Plastic</v>
      </c>
      <c r="C94">
        <f t="shared" ca="1" si="7"/>
        <v>2490</v>
      </c>
      <c r="D94">
        <f t="shared" ca="1" si="8"/>
        <v>0</v>
      </c>
      <c r="E94">
        <f t="shared" ca="1" si="9"/>
        <v>0</v>
      </c>
    </row>
    <row r="95" spans="1:5" x14ac:dyDescent="0.25">
      <c r="A95" s="2">
        <f t="shared" ca="1" si="5"/>
        <v>45903</v>
      </c>
      <c r="B95" t="str">
        <f t="shared" ca="1" si="6"/>
        <v>Steel</v>
      </c>
      <c r="C95">
        <f t="shared" ca="1" si="7"/>
        <v>4923</v>
      </c>
      <c r="D95">
        <f t="shared" ca="1" si="8"/>
        <v>0</v>
      </c>
      <c r="E95">
        <f t="shared" ca="1" si="9"/>
        <v>0</v>
      </c>
    </row>
    <row r="96" spans="1:5" x14ac:dyDescent="0.25">
      <c r="A96" s="2">
        <f t="shared" ca="1" si="5"/>
        <v>45945</v>
      </c>
      <c r="B96" t="str">
        <f t="shared" ca="1" si="6"/>
        <v>Chemicals</v>
      </c>
      <c r="C96">
        <f t="shared" ca="1" si="7"/>
        <v>4433</v>
      </c>
      <c r="D96">
        <f t="shared" ca="1" si="8"/>
        <v>2</v>
      </c>
      <c r="E96">
        <f t="shared" ca="1" si="9"/>
        <v>443.3</v>
      </c>
    </row>
    <row r="97" spans="1:5" x14ac:dyDescent="0.25">
      <c r="A97" s="2">
        <f t="shared" ca="1" si="5"/>
        <v>45851</v>
      </c>
      <c r="B97" t="str">
        <f t="shared" ca="1" si="6"/>
        <v>Packaging</v>
      </c>
      <c r="C97">
        <f t="shared" ca="1" si="7"/>
        <v>1012</v>
      </c>
      <c r="D97">
        <f t="shared" ca="1" si="8"/>
        <v>0</v>
      </c>
      <c r="E97">
        <f t="shared" ca="1" si="9"/>
        <v>0</v>
      </c>
    </row>
    <row r="98" spans="1:5" x14ac:dyDescent="0.25">
      <c r="A98" s="2">
        <f t="shared" ca="1" si="5"/>
        <v>45931</v>
      </c>
      <c r="B98" t="str">
        <f t="shared" ca="1" si="6"/>
        <v>Chemicals</v>
      </c>
      <c r="C98">
        <f t="shared" ca="1" si="7"/>
        <v>4051</v>
      </c>
      <c r="D98">
        <f t="shared" ca="1" si="8"/>
        <v>0</v>
      </c>
      <c r="E98">
        <f t="shared" ca="1" si="9"/>
        <v>0</v>
      </c>
    </row>
    <row r="99" spans="1:5" x14ac:dyDescent="0.25">
      <c r="A99" s="2">
        <f t="shared" ca="1" si="5"/>
        <v>45934</v>
      </c>
      <c r="B99" t="str">
        <f t="shared" ca="1" si="6"/>
        <v>Packaging</v>
      </c>
      <c r="C99">
        <f t="shared" ca="1" si="7"/>
        <v>4024</v>
      </c>
      <c r="D99">
        <f t="shared" ca="1" si="8"/>
        <v>2</v>
      </c>
      <c r="E99">
        <f t="shared" ca="1" si="9"/>
        <v>402.40000000000003</v>
      </c>
    </row>
    <row r="100" spans="1:5" x14ac:dyDescent="0.25">
      <c r="A100" s="2">
        <f t="shared" ca="1" si="5"/>
        <v>45902</v>
      </c>
      <c r="B100" t="str">
        <f t="shared" ca="1" si="6"/>
        <v>Packaging</v>
      </c>
      <c r="C100">
        <f t="shared" ca="1" si="7"/>
        <v>1840</v>
      </c>
      <c r="D100">
        <f t="shared" ca="1" si="8"/>
        <v>5</v>
      </c>
      <c r="E100">
        <f t="shared" ca="1" si="9"/>
        <v>460</v>
      </c>
    </row>
    <row r="101" spans="1:5" x14ac:dyDescent="0.25">
      <c r="A101" s="2">
        <f t="shared" ca="1" si="5"/>
        <v>45864</v>
      </c>
      <c r="B101" t="str">
        <f t="shared" ca="1" si="6"/>
        <v>Packaging</v>
      </c>
      <c r="C101">
        <f t="shared" ca="1" si="7"/>
        <v>1862</v>
      </c>
      <c r="D101">
        <f t="shared" ca="1" si="8"/>
        <v>10</v>
      </c>
      <c r="E101">
        <f t="shared" ca="1" si="9"/>
        <v>931</v>
      </c>
    </row>
    <row r="102" spans="1:5" x14ac:dyDescent="0.25">
      <c r="A102" s="2">
        <f t="shared" ca="1" si="5"/>
        <v>45831</v>
      </c>
      <c r="B102" t="str">
        <f t="shared" ca="1" si="6"/>
        <v>Steel</v>
      </c>
      <c r="C102">
        <f t="shared" ca="1" si="7"/>
        <v>1339</v>
      </c>
      <c r="D102">
        <f t="shared" ca="1" si="8"/>
        <v>0</v>
      </c>
      <c r="E102">
        <f t="shared" ca="1" si="9"/>
        <v>0</v>
      </c>
    </row>
    <row r="103" spans="1:5" x14ac:dyDescent="0.25">
      <c r="A103" s="2">
        <f t="shared" ca="1" si="5"/>
        <v>45857</v>
      </c>
      <c r="B103" t="str">
        <f t="shared" ca="1" si="6"/>
        <v>Plastic</v>
      </c>
      <c r="C103">
        <f t="shared" ca="1" si="7"/>
        <v>4990</v>
      </c>
      <c r="D103">
        <f t="shared" ca="1" si="8"/>
        <v>0</v>
      </c>
      <c r="E103">
        <f t="shared" ca="1" si="9"/>
        <v>0</v>
      </c>
    </row>
    <row r="104" spans="1:5" x14ac:dyDescent="0.25">
      <c r="A104" s="2">
        <f t="shared" ca="1" si="5"/>
        <v>45855</v>
      </c>
      <c r="B104" t="str">
        <f t="shared" ca="1" si="6"/>
        <v>Plastic</v>
      </c>
      <c r="C104">
        <f t="shared" ca="1" si="7"/>
        <v>3209</v>
      </c>
      <c r="D104">
        <f t="shared" ca="1" si="8"/>
        <v>0</v>
      </c>
      <c r="E104">
        <f t="shared" ca="1" si="9"/>
        <v>0</v>
      </c>
    </row>
    <row r="105" spans="1:5" x14ac:dyDescent="0.25">
      <c r="A105" s="2">
        <f t="shared" ca="1" si="5"/>
        <v>45895</v>
      </c>
      <c r="B105" t="str">
        <f t="shared" ca="1" si="6"/>
        <v>Chemicals</v>
      </c>
      <c r="C105">
        <f t="shared" ca="1" si="7"/>
        <v>2662</v>
      </c>
      <c r="D105">
        <f t="shared" ca="1" si="8"/>
        <v>10</v>
      </c>
      <c r="E105">
        <f t="shared" ca="1" si="9"/>
        <v>1331</v>
      </c>
    </row>
    <row r="106" spans="1:5" x14ac:dyDescent="0.25">
      <c r="A106" s="2">
        <f t="shared" ca="1" si="5"/>
        <v>45785</v>
      </c>
      <c r="B106" t="str">
        <f t="shared" ca="1" si="6"/>
        <v>Plastic</v>
      </c>
      <c r="C106">
        <f t="shared" ca="1" si="7"/>
        <v>3025</v>
      </c>
      <c r="D106">
        <f t="shared" ca="1" si="8"/>
        <v>0</v>
      </c>
      <c r="E106">
        <f t="shared" ca="1" si="9"/>
        <v>0</v>
      </c>
    </row>
    <row r="107" spans="1:5" x14ac:dyDescent="0.25">
      <c r="A107" s="2">
        <f t="shared" ca="1" si="5"/>
        <v>45927</v>
      </c>
      <c r="B107" t="str">
        <f t="shared" ca="1" si="6"/>
        <v>Plastic</v>
      </c>
      <c r="C107">
        <f t="shared" ca="1" si="7"/>
        <v>2346</v>
      </c>
      <c r="D107">
        <f t="shared" ca="1" si="8"/>
        <v>0</v>
      </c>
      <c r="E107">
        <f t="shared" ca="1" si="9"/>
        <v>0</v>
      </c>
    </row>
    <row r="108" spans="1:5" x14ac:dyDescent="0.25">
      <c r="A108" s="2">
        <f t="shared" ca="1" si="5"/>
        <v>45933</v>
      </c>
      <c r="B108" t="str">
        <f t="shared" ca="1" si="6"/>
        <v>Chemicals</v>
      </c>
      <c r="C108">
        <f t="shared" ca="1" si="7"/>
        <v>3202</v>
      </c>
      <c r="D108">
        <f t="shared" ca="1" si="8"/>
        <v>0</v>
      </c>
      <c r="E108">
        <f t="shared" ca="1" si="9"/>
        <v>0</v>
      </c>
    </row>
    <row r="109" spans="1:5" x14ac:dyDescent="0.25">
      <c r="A109" s="2">
        <f t="shared" ca="1" si="5"/>
        <v>45830</v>
      </c>
      <c r="B109" t="str">
        <f t="shared" ca="1" si="6"/>
        <v>Chemicals</v>
      </c>
      <c r="C109">
        <f t="shared" ca="1" si="7"/>
        <v>1878</v>
      </c>
      <c r="D109">
        <f t="shared" ca="1" si="8"/>
        <v>0</v>
      </c>
      <c r="E109">
        <f t="shared" ca="1" si="9"/>
        <v>0</v>
      </c>
    </row>
    <row r="110" spans="1:5" x14ac:dyDescent="0.25">
      <c r="A110" s="2">
        <f t="shared" ca="1" si="5"/>
        <v>45901</v>
      </c>
      <c r="B110" t="str">
        <f t="shared" ca="1" si="6"/>
        <v>Chemicals</v>
      </c>
      <c r="C110">
        <f t="shared" ca="1" si="7"/>
        <v>4973</v>
      </c>
      <c r="D110">
        <f t="shared" ca="1" si="8"/>
        <v>6</v>
      </c>
      <c r="E110">
        <f t="shared" ca="1" si="9"/>
        <v>1491.9</v>
      </c>
    </row>
    <row r="111" spans="1:5" x14ac:dyDescent="0.25">
      <c r="A111" s="2">
        <f t="shared" ca="1" si="5"/>
        <v>45876</v>
      </c>
      <c r="B111" t="str">
        <f t="shared" ca="1" si="6"/>
        <v>Steel</v>
      </c>
      <c r="C111">
        <f t="shared" ca="1" si="7"/>
        <v>1534</v>
      </c>
      <c r="D111">
        <f t="shared" ca="1" si="8"/>
        <v>0</v>
      </c>
      <c r="E111">
        <f t="shared" ca="1" si="9"/>
        <v>0</v>
      </c>
    </row>
    <row r="112" spans="1:5" x14ac:dyDescent="0.25">
      <c r="A112" s="2">
        <f t="shared" ca="1" si="5"/>
        <v>45959</v>
      </c>
      <c r="B112" t="str">
        <f t="shared" ca="1" si="6"/>
        <v>Plastic</v>
      </c>
      <c r="C112">
        <f t="shared" ca="1" si="7"/>
        <v>2891</v>
      </c>
      <c r="D112">
        <f t="shared" ca="1" si="8"/>
        <v>10</v>
      </c>
      <c r="E112">
        <f t="shared" ca="1" si="9"/>
        <v>1445.5</v>
      </c>
    </row>
    <row r="113" spans="1:5" x14ac:dyDescent="0.25">
      <c r="A113" s="2">
        <f t="shared" ca="1" si="5"/>
        <v>45801</v>
      </c>
      <c r="B113" t="str">
        <f t="shared" ca="1" si="6"/>
        <v>Steel</v>
      </c>
      <c r="C113">
        <f t="shared" ca="1" si="7"/>
        <v>1023</v>
      </c>
      <c r="D113">
        <f t="shared" ca="1" si="8"/>
        <v>0</v>
      </c>
      <c r="E113">
        <f t="shared" ca="1" si="9"/>
        <v>0</v>
      </c>
    </row>
    <row r="114" spans="1:5" x14ac:dyDescent="0.25">
      <c r="A114" s="2">
        <f t="shared" ca="1" si="5"/>
        <v>45906</v>
      </c>
      <c r="B114" t="str">
        <f t="shared" ca="1" si="6"/>
        <v>Packaging</v>
      </c>
      <c r="C114">
        <f t="shared" ca="1" si="7"/>
        <v>2367</v>
      </c>
      <c r="D114">
        <f t="shared" ca="1" si="8"/>
        <v>0</v>
      </c>
      <c r="E114">
        <f t="shared" ca="1" si="9"/>
        <v>0</v>
      </c>
    </row>
    <row r="115" spans="1:5" x14ac:dyDescent="0.25">
      <c r="A115" s="2">
        <f t="shared" ca="1" si="5"/>
        <v>45784</v>
      </c>
      <c r="B115" t="str">
        <f t="shared" ca="1" si="6"/>
        <v>Chemicals</v>
      </c>
      <c r="C115">
        <f t="shared" ca="1" si="7"/>
        <v>3786</v>
      </c>
      <c r="D115">
        <f t="shared" ca="1" si="8"/>
        <v>0</v>
      </c>
      <c r="E115">
        <f t="shared" ca="1" si="9"/>
        <v>0</v>
      </c>
    </row>
    <row r="116" spans="1:5" x14ac:dyDescent="0.25">
      <c r="A116" s="2">
        <f t="shared" ca="1" si="5"/>
        <v>45801</v>
      </c>
      <c r="B116" t="str">
        <f t="shared" ca="1" si="6"/>
        <v>Steel</v>
      </c>
      <c r="C116">
        <f t="shared" ca="1" si="7"/>
        <v>4482</v>
      </c>
      <c r="D116">
        <f t="shared" ca="1" si="8"/>
        <v>0</v>
      </c>
      <c r="E116">
        <f t="shared" ca="1" si="9"/>
        <v>0</v>
      </c>
    </row>
    <row r="117" spans="1:5" x14ac:dyDescent="0.25">
      <c r="A117" s="2">
        <f t="shared" ca="1" si="5"/>
        <v>45926</v>
      </c>
      <c r="B117" t="str">
        <f t="shared" ca="1" si="6"/>
        <v>Plastic</v>
      </c>
      <c r="C117">
        <f t="shared" ca="1" si="7"/>
        <v>3133</v>
      </c>
      <c r="D117">
        <f t="shared" ca="1" si="8"/>
        <v>6</v>
      </c>
      <c r="E117">
        <f t="shared" ca="1" si="9"/>
        <v>939.90000000000009</v>
      </c>
    </row>
    <row r="118" spans="1:5" x14ac:dyDescent="0.25">
      <c r="A118" s="2">
        <f t="shared" ca="1" si="5"/>
        <v>45956</v>
      </c>
      <c r="B118" t="str">
        <f t="shared" ca="1" si="6"/>
        <v>Packaging</v>
      </c>
      <c r="C118">
        <f t="shared" ca="1" si="7"/>
        <v>3093</v>
      </c>
      <c r="D118">
        <f t="shared" ca="1" si="8"/>
        <v>10</v>
      </c>
      <c r="E118">
        <f t="shared" ca="1" si="9"/>
        <v>1546.5</v>
      </c>
    </row>
    <row r="119" spans="1:5" x14ac:dyDescent="0.25">
      <c r="A119" s="2">
        <f t="shared" ca="1" si="5"/>
        <v>45860</v>
      </c>
      <c r="B119" t="str">
        <f t="shared" ca="1" si="6"/>
        <v>Steel</v>
      </c>
      <c r="C119">
        <f t="shared" ca="1" si="7"/>
        <v>3562</v>
      </c>
      <c r="D119">
        <f t="shared" ca="1" si="8"/>
        <v>0</v>
      </c>
      <c r="E119">
        <f t="shared" ca="1" si="9"/>
        <v>0</v>
      </c>
    </row>
    <row r="120" spans="1:5" x14ac:dyDescent="0.25">
      <c r="A120" s="2">
        <f t="shared" ca="1" si="5"/>
        <v>45955</v>
      </c>
      <c r="B120" t="str">
        <f t="shared" ca="1" si="6"/>
        <v>Packaging</v>
      </c>
      <c r="C120">
        <f t="shared" ca="1" si="7"/>
        <v>2276</v>
      </c>
      <c r="D120">
        <f t="shared" ca="1" si="8"/>
        <v>0</v>
      </c>
      <c r="E120">
        <f t="shared" ca="1" si="9"/>
        <v>0</v>
      </c>
    </row>
    <row r="121" spans="1:5" x14ac:dyDescent="0.25">
      <c r="A121" s="2">
        <f t="shared" ca="1" si="5"/>
        <v>45954</v>
      </c>
      <c r="B121" t="str">
        <f t="shared" ca="1" si="6"/>
        <v>Packaging</v>
      </c>
      <c r="C121">
        <f t="shared" ca="1" si="7"/>
        <v>2324</v>
      </c>
      <c r="D121">
        <f t="shared" ca="1" si="8"/>
        <v>3</v>
      </c>
      <c r="E121">
        <f t="shared" ca="1" si="9"/>
        <v>348.6</v>
      </c>
    </row>
    <row r="122" spans="1:5" x14ac:dyDescent="0.25">
      <c r="A122" s="2">
        <f t="shared" ca="1" si="5"/>
        <v>45826</v>
      </c>
      <c r="B122" t="str">
        <f t="shared" ca="1" si="6"/>
        <v>Steel</v>
      </c>
      <c r="C122">
        <f t="shared" ca="1" si="7"/>
        <v>1600</v>
      </c>
      <c r="D122">
        <f t="shared" ca="1" si="8"/>
        <v>0</v>
      </c>
      <c r="E122">
        <f t="shared" ca="1" si="9"/>
        <v>0</v>
      </c>
    </row>
    <row r="123" spans="1:5" x14ac:dyDescent="0.25">
      <c r="A123" s="2">
        <f t="shared" ca="1" si="5"/>
        <v>45800</v>
      </c>
      <c r="B123" t="str">
        <f t="shared" ca="1" si="6"/>
        <v>Chemicals</v>
      </c>
      <c r="C123">
        <f t="shared" ca="1" si="7"/>
        <v>3648</v>
      </c>
      <c r="D123">
        <f t="shared" ca="1" si="8"/>
        <v>6</v>
      </c>
      <c r="E123">
        <f t="shared" ca="1" si="9"/>
        <v>1094.4000000000001</v>
      </c>
    </row>
    <row r="124" spans="1:5" x14ac:dyDescent="0.25">
      <c r="A124" s="2">
        <f t="shared" ca="1" si="5"/>
        <v>45862</v>
      </c>
      <c r="B124" t="str">
        <f t="shared" ca="1" si="6"/>
        <v>Chemicals</v>
      </c>
      <c r="C124">
        <f t="shared" ca="1" si="7"/>
        <v>3220</v>
      </c>
      <c r="D124">
        <f t="shared" ca="1" si="8"/>
        <v>0</v>
      </c>
      <c r="E124">
        <f t="shared" ca="1" si="9"/>
        <v>0</v>
      </c>
    </row>
    <row r="125" spans="1:5" x14ac:dyDescent="0.25">
      <c r="A125" s="2">
        <f t="shared" ca="1" si="5"/>
        <v>45800</v>
      </c>
      <c r="B125" t="str">
        <f t="shared" ca="1" si="6"/>
        <v>Steel</v>
      </c>
      <c r="C125">
        <f t="shared" ca="1" si="7"/>
        <v>4962</v>
      </c>
      <c r="D125">
        <f t="shared" ca="1" si="8"/>
        <v>0</v>
      </c>
      <c r="E125">
        <f t="shared" ca="1" si="9"/>
        <v>0</v>
      </c>
    </row>
    <row r="126" spans="1:5" x14ac:dyDescent="0.25">
      <c r="A126" s="2">
        <f t="shared" ca="1" si="5"/>
        <v>45803</v>
      </c>
      <c r="B126" t="str">
        <f t="shared" ca="1" si="6"/>
        <v>Packaging</v>
      </c>
      <c r="C126">
        <f t="shared" ca="1" si="7"/>
        <v>1075</v>
      </c>
      <c r="D126">
        <f t="shared" ca="1" si="8"/>
        <v>0</v>
      </c>
      <c r="E126">
        <f t="shared" ca="1" si="9"/>
        <v>0</v>
      </c>
    </row>
    <row r="127" spans="1:5" x14ac:dyDescent="0.25">
      <c r="A127" s="2">
        <f t="shared" ca="1" si="5"/>
        <v>45914</v>
      </c>
      <c r="B127" t="str">
        <f t="shared" ca="1" si="6"/>
        <v>Chemicals</v>
      </c>
      <c r="C127">
        <f t="shared" ca="1" si="7"/>
        <v>1881</v>
      </c>
      <c r="D127">
        <f t="shared" ca="1" si="8"/>
        <v>0</v>
      </c>
      <c r="E127">
        <f t="shared" ca="1" si="9"/>
        <v>0</v>
      </c>
    </row>
    <row r="128" spans="1:5" x14ac:dyDescent="0.25">
      <c r="A128" s="2">
        <f t="shared" ca="1" si="5"/>
        <v>45850</v>
      </c>
      <c r="B128" t="str">
        <f t="shared" ca="1" si="6"/>
        <v>Chemicals</v>
      </c>
      <c r="C128">
        <f t="shared" ca="1" si="7"/>
        <v>4897</v>
      </c>
      <c r="D128">
        <f t="shared" ca="1" si="8"/>
        <v>8</v>
      </c>
      <c r="E128">
        <f t="shared" ca="1" si="9"/>
        <v>1958.8000000000002</v>
      </c>
    </row>
    <row r="129" spans="1:5" x14ac:dyDescent="0.25">
      <c r="A129" s="2">
        <f t="shared" ca="1" si="5"/>
        <v>45897</v>
      </c>
      <c r="B129" t="str">
        <f t="shared" ca="1" si="6"/>
        <v>Chemicals</v>
      </c>
      <c r="C129">
        <f t="shared" ca="1" si="7"/>
        <v>1782</v>
      </c>
      <c r="D129">
        <f t="shared" ca="1" si="8"/>
        <v>0</v>
      </c>
      <c r="E129">
        <f t="shared" ca="1" si="9"/>
        <v>0</v>
      </c>
    </row>
    <row r="130" spans="1:5" x14ac:dyDescent="0.25">
      <c r="A130" s="2">
        <f t="shared" ref="A130:A193" ca="1" si="10">TODAY()-RANDBETWEEN(1,180)</f>
        <v>45786</v>
      </c>
      <c r="B130" t="str">
        <f t="shared" ref="B130:B193" ca="1" si="11">CHOOSE(RANDBETWEEN(1,4),"Steel","Plastic","Chemicals","Packaging")</f>
        <v>Packaging</v>
      </c>
      <c r="C130">
        <f t="shared" ref="C130:C193" ca="1" si="12">ROUND(RANDBETWEEN(1000,5000), 0)</f>
        <v>1547</v>
      </c>
      <c r="D130">
        <f t="shared" ref="D130:D193" ca="1" si="13">ROUND(CHOOSE(RANDBETWEEN(1,3), 0, 0, RANDBETWEEN(1,10)),0)</f>
        <v>6</v>
      </c>
      <c r="E130">
        <f t="shared" ref="E130:E193" ca="1" si="14">IF(D130&gt;0,D130*C130*0.05, 0)</f>
        <v>464.1</v>
      </c>
    </row>
    <row r="131" spans="1:5" x14ac:dyDescent="0.25">
      <c r="A131" s="2">
        <f t="shared" ca="1" si="10"/>
        <v>45842</v>
      </c>
      <c r="B131" t="str">
        <f t="shared" ca="1" si="11"/>
        <v>Packaging</v>
      </c>
      <c r="C131">
        <f t="shared" ca="1" si="12"/>
        <v>3115</v>
      </c>
      <c r="D131">
        <f t="shared" ca="1" si="13"/>
        <v>0</v>
      </c>
      <c r="E131">
        <f t="shared" ca="1" si="14"/>
        <v>0</v>
      </c>
    </row>
    <row r="132" spans="1:5" x14ac:dyDescent="0.25">
      <c r="A132" s="2">
        <f t="shared" ca="1" si="10"/>
        <v>45916</v>
      </c>
      <c r="B132" t="str">
        <f t="shared" ca="1" si="11"/>
        <v>Steel</v>
      </c>
      <c r="C132">
        <f t="shared" ca="1" si="12"/>
        <v>2221</v>
      </c>
      <c r="D132">
        <f t="shared" ca="1" si="13"/>
        <v>0</v>
      </c>
      <c r="E132">
        <f t="shared" ca="1" si="14"/>
        <v>0</v>
      </c>
    </row>
    <row r="133" spans="1:5" x14ac:dyDescent="0.25">
      <c r="A133" s="2">
        <f t="shared" ca="1" si="10"/>
        <v>45935</v>
      </c>
      <c r="B133" t="str">
        <f t="shared" ca="1" si="11"/>
        <v>Packaging</v>
      </c>
      <c r="C133">
        <f t="shared" ca="1" si="12"/>
        <v>1505</v>
      </c>
      <c r="D133">
        <f t="shared" ca="1" si="13"/>
        <v>9</v>
      </c>
      <c r="E133">
        <f t="shared" ca="1" si="14"/>
        <v>677.25</v>
      </c>
    </row>
    <row r="134" spans="1:5" x14ac:dyDescent="0.25">
      <c r="A134" s="2">
        <f t="shared" ca="1" si="10"/>
        <v>45960</v>
      </c>
      <c r="B134" t="str">
        <f t="shared" ca="1" si="11"/>
        <v>Steel</v>
      </c>
      <c r="C134">
        <f t="shared" ca="1" si="12"/>
        <v>3576</v>
      </c>
      <c r="D134">
        <f t="shared" ca="1" si="13"/>
        <v>3</v>
      </c>
      <c r="E134">
        <f t="shared" ca="1" si="14"/>
        <v>536.4</v>
      </c>
    </row>
    <row r="135" spans="1:5" x14ac:dyDescent="0.25">
      <c r="A135" s="2">
        <f t="shared" ca="1" si="10"/>
        <v>45840</v>
      </c>
      <c r="B135" t="str">
        <f t="shared" ca="1" si="11"/>
        <v>Plastic</v>
      </c>
      <c r="C135">
        <f t="shared" ca="1" si="12"/>
        <v>4419</v>
      </c>
      <c r="D135">
        <f t="shared" ca="1" si="13"/>
        <v>0</v>
      </c>
      <c r="E135">
        <f t="shared" ca="1" si="14"/>
        <v>0</v>
      </c>
    </row>
    <row r="136" spans="1:5" x14ac:dyDescent="0.25">
      <c r="A136" s="2">
        <f t="shared" ca="1" si="10"/>
        <v>45944</v>
      </c>
      <c r="B136" t="str">
        <f t="shared" ca="1" si="11"/>
        <v>Chemicals</v>
      </c>
      <c r="C136">
        <f t="shared" ca="1" si="12"/>
        <v>1395</v>
      </c>
      <c r="D136">
        <f t="shared" ca="1" si="13"/>
        <v>9</v>
      </c>
      <c r="E136">
        <f t="shared" ca="1" si="14"/>
        <v>627.75</v>
      </c>
    </row>
    <row r="137" spans="1:5" x14ac:dyDescent="0.25">
      <c r="A137" s="2">
        <f t="shared" ca="1" si="10"/>
        <v>45848</v>
      </c>
      <c r="B137" t="str">
        <f t="shared" ca="1" si="11"/>
        <v>Plastic</v>
      </c>
      <c r="C137">
        <f t="shared" ca="1" si="12"/>
        <v>1740</v>
      </c>
      <c r="D137">
        <f t="shared" ca="1" si="13"/>
        <v>0</v>
      </c>
      <c r="E137">
        <f t="shared" ca="1" si="14"/>
        <v>0</v>
      </c>
    </row>
    <row r="138" spans="1:5" x14ac:dyDescent="0.25">
      <c r="A138" s="2">
        <f t="shared" ca="1" si="10"/>
        <v>45876</v>
      </c>
      <c r="B138" t="str">
        <f t="shared" ca="1" si="11"/>
        <v>Steel</v>
      </c>
      <c r="C138">
        <f t="shared" ca="1" si="12"/>
        <v>1826</v>
      </c>
      <c r="D138">
        <f t="shared" ca="1" si="13"/>
        <v>0</v>
      </c>
      <c r="E138">
        <f t="shared" ca="1" si="14"/>
        <v>0</v>
      </c>
    </row>
    <row r="139" spans="1:5" x14ac:dyDescent="0.25">
      <c r="A139" s="2">
        <f t="shared" ca="1" si="10"/>
        <v>45870</v>
      </c>
      <c r="B139" t="str">
        <f t="shared" ca="1" si="11"/>
        <v>Steel</v>
      </c>
      <c r="C139">
        <f t="shared" ca="1" si="12"/>
        <v>3904</v>
      </c>
      <c r="D139">
        <f t="shared" ca="1" si="13"/>
        <v>0</v>
      </c>
      <c r="E139">
        <f t="shared" ca="1" si="14"/>
        <v>0</v>
      </c>
    </row>
    <row r="140" spans="1:5" x14ac:dyDescent="0.25">
      <c r="A140" s="2">
        <f t="shared" ca="1" si="10"/>
        <v>45821</v>
      </c>
      <c r="B140" t="str">
        <f t="shared" ca="1" si="11"/>
        <v>Steel</v>
      </c>
      <c r="C140">
        <f t="shared" ca="1" si="12"/>
        <v>3809</v>
      </c>
      <c r="D140">
        <f t="shared" ca="1" si="13"/>
        <v>0</v>
      </c>
      <c r="E140">
        <f t="shared" ca="1" si="14"/>
        <v>0</v>
      </c>
    </row>
    <row r="141" spans="1:5" x14ac:dyDescent="0.25">
      <c r="A141" s="2">
        <f t="shared" ca="1" si="10"/>
        <v>45866</v>
      </c>
      <c r="B141" t="str">
        <f t="shared" ca="1" si="11"/>
        <v>Steel</v>
      </c>
      <c r="C141">
        <f t="shared" ca="1" si="12"/>
        <v>3765</v>
      </c>
      <c r="D141">
        <f t="shared" ca="1" si="13"/>
        <v>0</v>
      </c>
      <c r="E141">
        <f t="shared" ca="1" si="14"/>
        <v>0</v>
      </c>
    </row>
    <row r="142" spans="1:5" x14ac:dyDescent="0.25">
      <c r="A142" s="2">
        <f t="shared" ca="1" si="10"/>
        <v>45926</v>
      </c>
      <c r="B142" t="str">
        <f t="shared" ca="1" si="11"/>
        <v>Plastic</v>
      </c>
      <c r="C142">
        <f t="shared" ca="1" si="12"/>
        <v>1350</v>
      </c>
      <c r="D142">
        <f t="shared" ca="1" si="13"/>
        <v>0</v>
      </c>
      <c r="E142">
        <f t="shared" ca="1" si="14"/>
        <v>0</v>
      </c>
    </row>
    <row r="143" spans="1:5" x14ac:dyDescent="0.25">
      <c r="A143" s="2">
        <f t="shared" ca="1" si="10"/>
        <v>45825</v>
      </c>
      <c r="B143" t="str">
        <f t="shared" ca="1" si="11"/>
        <v>Chemicals</v>
      </c>
      <c r="C143">
        <f t="shared" ca="1" si="12"/>
        <v>4484</v>
      </c>
      <c r="D143">
        <f t="shared" ca="1" si="13"/>
        <v>0</v>
      </c>
      <c r="E143">
        <f t="shared" ca="1" si="14"/>
        <v>0</v>
      </c>
    </row>
    <row r="144" spans="1:5" x14ac:dyDescent="0.25">
      <c r="A144" s="2">
        <f t="shared" ca="1" si="10"/>
        <v>45872</v>
      </c>
      <c r="B144" t="str">
        <f t="shared" ca="1" si="11"/>
        <v>Steel</v>
      </c>
      <c r="C144">
        <f t="shared" ca="1" si="12"/>
        <v>1887</v>
      </c>
      <c r="D144">
        <f t="shared" ca="1" si="13"/>
        <v>0</v>
      </c>
      <c r="E144">
        <f t="shared" ca="1" si="14"/>
        <v>0</v>
      </c>
    </row>
    <row r="145" spans="1:5" x14ac:dyDescent="0.25">
      <c r="A145" s="2">
        <f t="shared" ca="1" si="10"/>
        <v>45870</v>
      </c>
      <c r="B145" t="str">
        <f t="shared" ca="1" si="11"/>
        <v>Steel</v>
      </c>
      <c r="C145">
        <f t="shared" ca="1" si="12"/>
        <v>4272</v>
      </c>
      <c r="D145">
        <f t="shared" ca="1" si="13"/>
        <v>4</v>
      </c>
      <c r="E145">
        <f t="shared" ca="1" si="14"/>
        <v>854.40000000000009</v>
      </c>
    </row>
    <row r="146" spans="1:5" x14ac:dyDescent="0.25">
      <c r="A146" s="2">
        <f t="shared" ca="1" si="10"/>
        <v>45852</v>
      </c>
      <c r="B146" t="str">
        <f t="shared" ca="1" si="11"/>
        <v>Packaging</v>
      </c>
      <c r="C146">
        <f t="shared" ca="1" si="12"/>
        <v>2876</v>
      </c>
      <c r="D146">
        <f t="shared" ca="1" si="13"/>
        <v>1</v>
      </c>
      <c r="E146">
        <f t="shared" ca="1" si="14"/>
        <v>143.80000000000001</v>
      </c>
    </row>
    <row r="147" spans="1:5" x14ac:dyDescent="0.25">
      <c r="A147" s="2">
        <f t="shared" ca="1" si="10"/>
        <v>45854</v>
      </c>
      <c r="B147" t="str">
        <f t="shared" ca="1" si="11"/>
        <v>Steel</v>
      </c>
      <c r="C147">
        <f t="shared" ca="1" si="12"/>
        <v>1865</v>
      </c>
      <c r="D147">
        <f t="shared" ca="1" si="13"/>
        <v>3</v>
      </c>
      <c r="E147">
        <f t="shared" ca="1" si="14"/>
        <v>279.75</v>
      </c>
    </row>
    <row r="148" spans="1:5" x14ac:dyDescent="0.25">
      <c r="A148" s="2">
        <f t="shared" ca="1" si="10"/>
        <v>45884</v>
      </c>
      <c r="B148" t="str">
        <f t="shared" ca="1" si="11"/>
        <v>Chemicals</v>
      </c>
      <c r="C148">
        <f t="shared" ca="1" si="12"/>
        <v>1845</v>
      </c>
      <c r="D148">
        <f t="shared" ca="1" si="13"/>
        <v>0</v>
      </c>
      <c r="E148">
        <f t="shared" ca="1" si="14"/>
        <v>0</v>
      </c>
    </row>
    <row r="149" spans="1:5" x14ac:dyDescent="0.25">
      <c r="A149" s="2">
        <f t="shared" ca="1" si="10"/>
        <v>45840</v>
      </c>
      <c r="B149" t="str">
        <f t="shared" ca="1" si="11"/>
        <v>Plastic</v>
      </c>
      <c r="C149">
        <f t="shared" ca="1" si="12"/>
        <v>2948</v>
      </c>
      <c r="D149">
        <f t="shared" ca="1" si="13"/>
        <v>8</v>
      </c>
      <c r="E149">
        <f t="shared" ca="1" si="14"/>
        <v>1179.2</v>
      </c>
    </row>
    <row r="150" spans="1:5" x14ac:dyDescent="0.25">
      <c r="A150" s="2">
        <f t="shared" ca="1" si="10"/>
        <v>45931</v>
      </c>
      <c r="B150" t="str">
        <f t="shared" ca="1" si="11"/>
        <v>Plastic</v>
      </c>
      <c r="C150">
        <f t="shared" ca="1" si="12"/>
        <v>4218</v>
      </c>
      <c r="D150">
        <f t="shared" ca="1" si="13"/>
        <v>0</v>
      </c>
      <c r="E150">
        <f t="shared" ca="1" si="14"/>
        <v>0</v>
      </c>
    </row>
    <row r="151" spans="1:5" x14ac:dyDescent="0.25">
      <c r="A151" s="2">
        <f t="shared" ca="1" si="10"/>
        <v>45881</v>
      </c>
      <c r="B151" t="str">
        <f t="shared" ca="1" si="11"/>
        <v>Packaging</v>
      </c>
      <c r="C151">
        <f t="shared" ca="1" si="12"/>
        <v>1801</v>
      </c>
      <c r="D151">
        <f t="shared" ca="1" si="13"/>
        <v>0</v>
      </c>
      <c r="E151">
        <f t="shared" ca="1" si="14"/>
        <v>0</v>
      </c>
    </row>
    <row r="152" spans="1:5" x14ac:dyDescent="0.25">
      <c r="A152" s="2">
        <f t="shared" ca="1" si="10"/>
        <v>45929</v>
      </c>
      <c r="B152" t="str">
        <f t="shared" ca="1" si="11"/>
        <v>Plastic</v>
      </c>
      <c r="C152">
        <f t="shared" ca="1" si="12"/>
        <v>1695</v>
      </c>
      <c r="D152">
        <f t="shared" ca="1" si="13"/>
        <v>0</v>
      </c>
      <c r="E152">
        <f t="shared" ca="1" si="14"/>
        <v>0</v>
      </c>
    </row>
    <row r="153" spans="1:5" x14ac:dyDescent="0.25">
      <c r="A153" s="2">
        <f t="shared" ca="1" si="10"/>
        <v>45878</v>
      </c>
      <c r="B153" t="str">
        <f t="shared" ca="1" si="11"/>
        <v>Steel</v>
      </c>
      <c r="C153">
        <f t="shared" ca="1" si="12"/>
        <v>4022</v>
      </c>
      <c r="D153">
        <f t="shared" ca="1" si="13"/>
        <v>0</v>
      </c>
      <c r="E153">
        <f t="shared" ca="1" si="14"/>
        <v>0</v>
      </c>
    </row>
    <row r="154" spans="1:5" x14ac:dyDescent="0.25">
      <c r="A154" s="2">
        <f t="shared" ca="1" si="10"/>
        <v>45784</v>
      </c>
      <c r="B154" t="str">
        <f t="shared" ca="1" si="11"/>
        <v>Packaging</v>
      </c>
      <c r="C154">
        <f t="shared" ca="1" si="12"/>
        <v>1672</v>
      </c>
      <c r="D154">
        <f t="shared" ca="1" si="13"/>
        <v>0</v>
      </c>
      <c r="E154">
        <f t="shared" ca="1" si="14"/>
        <v>0</v>
      </c>
    </row>
    <row r="155" spans="1:5" x14ac:dyDescent="0.25">
      <c r="A155" s="2">
        <f t="shared" ca="1" si="10"/>
        <v>45802</v>
      </c>
      <c r="B155" t="str">
        <f t="shared" ca="1" si="11"/>
        <v>Chemicals</v>
      </c>
      <c r="C155">
        <f t="shared" ca="1" si="12"/>
        <v>1884</v>
      </c>
      <c r="D155">
        <f t="shared" ca="1" si="13"/>
        <v>0</v>
      </c>
      <c r="E155">
        <f t="shared" ca="1" si="14"/>
        <v>0</v>
      </c>
    </row>
    <row r="156" spans="1:5" x14ac:dyDescent="0.25">
      <c r="A156" s="2">
        <f t="shared" ca="1" si="10"/>
        <v>45913</v>
      </c>
      <c r="B156" t="str">
        <f t="shared" ca="1" si="11"/>
        <v>Packaging</v>
      </c>
      <c r="C156">
        <f t="shared" ca="1" si="12"/>
        <v>4011</v>
      </c>
      <c r="D156">
        <f t="shared" ca="1" si="13"/>
        <v>0</v>
      </c>
      <c r="E156">
        <f t="shared" ca="1" si="14"/>
        <v>0</v>
      </c>
    </row>
    <row r="157" spans="1:5" x14ac:dyDescent="0.25">
      <c r="A157" s="2">
        <f t="shared" ca="1" si="10"/>
        <v>45816</v>
      </c>
      <c r="B157" t="str">
        <f t="shared" ca="1" si="11"/>
        <v>Steel</v>
      </c>
      <c r="C157">
        <f t="shared" ca="1" si="12"/>
        <v>4805</v>
      </c>
      <c r="D157">
        <f t="shared" ca="1" si="13"/>
        <v>0</v>
      </c>
      <c r="E157">
        <f t="shared" ca="1" si="14"/>
        <v>0</v>
      </c>
    </row>
    <row r="158" spans="1:5" x14ac:dyDescent="0.25">
      <c r="A158" s="2">
        <f t="shared" ca="1" si="10"/>
        <v>45941</v>
      </c>
      <c r="B158" t="str">
        <f t="shared" ca="1" si="11"/>
        <v>Plastic</v>
      </c>
      <c r="C158">
        <f t="shared" ca="1" si="12"/>
        <v>1892</v>
      </c>
      <c r="D158">
        <f t="shared" ca="1" si="13"/>
        <v>0</v>
      </c>
      <c r="E158">
        <f t="shared" ca="1" si="14"/>
        <v>0</v>
      </c>
    </row>
    <row r="159" spans="1:5" x14ac:dyDescent="0.25">
      <c r="A159" s="2">
        <f t="shared" ca="1" si="10"/>
        <v>45800</v>
      </c>
      <c r="B159" t="str">
        <f t="shared" ca="1" si="11"/>
        <v>Packaging</v>
      </c>
      <c r="C159">
        <f t="shared" ca="1" si="12"/>
        <v>4826</v>
      </c>
      <c r="D159">
        <f t="shared" ca="1" si="13"/>
        <v>10</v>
      </c>
      <c r="E159">
        <f t="shared" ca="1" si="14"/>
        <v>2413</v>
      </c>
    </row>
    <row r="160" spans="1:5" x14ac:dyDescent="0.25">
      <c r="A160" s="2">
        <f t="shared" ca="1" si="10"/>
        <v>45866</v>
      </c>
      <c r="B160" t="str">
        <f t="shared" ca="1" si="11"/>
        <v>Plastic</v>
      </c>
      <c r="C160">
        <f t="shared" ca="1" si="12"/>
        <v>2313</v>
      </c>
      <c r="D160">
        <f t="shared" ca="1" si="13"/>
        <v>0</v>
      </c>
      <c r="E160">
        <f t="shared" ca="1" si="14"/>
        <v>0</v>
      </c>
    </row>
    <row r="161" spans="1:5" x14ac:dyDescent="0.25">
      <c r="A161" s="2">
        <f t="shared" ca="1" si="10"/>
        <v>45848</v>
      </c>
      <c r="B161" t="str">
        <f t="shared" ca="1" si="11"/>
        <v>Chemicals</v>
      </c>
      <c r="C161">
        <f t="shared" ca="1" si="12"/>
        <v>3703</v>
      </c>
      <c r="D161">
        <f t="shared" ca="1" si="13"/>
        <v>7</v>
      </c>
      <c r="E161">
        <f t="shared" ca="1" si="14"/>
        <v>1296.0500000000002</v>
      </c>
    </row>
    <row r="162" spans="1:5" x14ac:dyDescent="0.25">
      <c r="A162" s="2">
        <f t="shared" ca="1" si="10"/>
        <v>45859</v>
      </c>
      <c r="B162" t="str">
        <f t="shared" ca="1" si="11"/>
        <v>Steel</v>
      </c>
      <c r="C162">
        <f t="shared" ca="1" si="12"/>
        <v>2272</v>
      </c>
      <c r="D162">
        <f t="shared" ca="1" si="13"/>
        <v>0</v>
      </c>
      <c r="E162">
        <f t="shared" ca="1" si="14"/>
        <v>0</v>
      </c>
    </row>
    <row r="163" spans="1:5" x14ac:dyDescent="0.25">
      <c r="A163" s="2">
        <f t="shared" ca="1" si="10"/>
        <v>45857</v>
      </c>
      <c r="B163" t="str">
        <f t="shared" ca="1" si="11"/>
        <v>Chemicals</v>
      </c>
      <c r="C163">
        <f t="shared" ca="1" si="12"/>
        <v>1021</v>
      </c>
      <c r="D163">
        <f t="shared" ca="1" si="13"/>
        <v>0</v>
      </c>
      <c r="E163">
        <f t="shared" ca="1" si="14"/>
        <v>0</v>
      </c>
    </row>
    <row r="164" spans="1:5" x14ac:dyDescent="0.25">
      <c r="A164" s="2">
        <f t="shared" ca="1" si="10"/>
        <v>45948</v>
      </c>
      <c r="B164" t="str">
        <f t="shared" ca="1" si="11"/>
        <v>Steel</v>
      </c>
      <c r="C164">
        <f t="shared" ca="1" si="12"/>
        <v>2520</v>
      </c>
      <c r="D164">
        <f t="shared" ca="1" si="13"/>
        <v>0</v>
      </c>
      <c r="E164">
        <f t="shared" ca="1" si="14"/>
        <v>0</v>
      </c>
    </row>
    <row r="165" spans="1:5" x14ac:dyDescent="0.25">
      <c r="A165" s="2">
        <f t="shared" ca="1" si="10"/>
        <v>45855</v>
      </c>
      <c r="B165" t="str">
        <f t="shared" ca="1" si="11"/>
        <v>Packaging</v>
      </c>
      <c r="C165">
        <f t="shared" ca="1" si="12"/>
        <v>1083</v>
      </c>
      <c r="D165">
        <f t="shared" ca="1" si="13"/>
        <v>9</v>
      </c>
      <c r="E165">
        <f t="shared" ca="1" si="14"/>
        <v>487.35</v>
      </c>
    </row>
    <row r="166" spans="1:5" x14ac:dyDescent="0.25">
      <c r="A166" s="2">
        <f t="shared" ca="1" si="10"/>
        <v>45803</v>
      </c>
      <c r="B166" t="str">
        <f t="shared" ca="1" si="11"/>
        <v>Plastic</v>
      </c>
      <c r="C166">
        <f t="shared" ca="1" si="12"/>
        <v>2705</v>
      </c>
      <c r="D166">
        <f t="shared" ca="1" si="13"/>
        <v>3</v>
      </c>
      <c r="E166">
        <f t="shared" ca="1" si="14"/>
        <v>405.75</v>
      </c>
    </row>
    <row r="167" spans="1:5" x14ac:dyDescent="0.25">
      <c r="A167" s="2">
        <f t="shared" ca="1" si="10"/>
        <v>45849</v>
      </c>
      <c r="B167" t="str">
        <f t="shared" ca="1" si="11"/>
        <v>Plastic</v>
      </c>
      <c r="C167">
        <f t="shared" ca="1" si="12"/>
        <v>3593</v>
      </c>
      <c r="D167">
        <f t="shared" ca="1" si="13"/>
        <v>7</v>
      </c>
      <c r="E167">
        <f t="shared" ca="1" si="14"/>
        <v>1257.5500000000002</v>
      </c>
    </row>
    <row r="168" spans="1:5" x14ac:dyDescent="0.25">
      <c r="A168" s="2">
        <f t="shared" ca="1" si="10"/>
        <v>45927</v>
      </c>
      <c r="B168" t="str">
        <f t="shared" ca="1" si="11"/>
        <v>Packaging</v>
      </c>
      <c r="C168">
        <f t="shared" ca="1" si="12"/>
        <v>2334</v>
      </c>
      <c r="D168">
        <f t="shared" ca="1" si="13"/>
        <v>0</v>
      </c>
      <c r="E168">
        <f t="shared" ca="1" si="14"/>
        <v>0</v>
      </c>
    </row>
    <row r="169" spans="1:5" x14ac:dyDescent="0.25">
      <c r="A169" s="2">
        <f t="shared" ca="1" si="10"/>
        <v>45905</v>
      </c>
      <c r="B169" t="str">
        <f t="shared" ca="1" si="11"/>
        <v>Packaging</v>
      </c>
      <c r="C169">
        <f t="shared" ca="1" si="12"/>
        <v>2015</v>
      </c>
      <c r="D169">
        <f t="shared" ca="1" si="13"/>
        <v>4</v>
      </c>
      <c r="E169">
        <f t="shared" ca="1" si="14"/>
        <v>403</v>
      </c>
    </row>
    <row r="170" spans="1:5" x14ac:dyDescent="0.25">
      <c r="A170" s="2">
        <f t="shared" ca="1" si="10"/>
        <v>45960</v>
      </c>
      <c r="B170" t="str">
        <f t="shared" ca="1" si="11"/>
        <v>Plastic</v>
      </c>
      <c r="C170">
        <f t="shared" ca="1" si="12"/>
        <v>2737</v>
      </c>
      <c r="D170">
        <f t="shared" ca="1" si="13"/>
        <v>0</v>
      </c>
      <c r="E170">
        <f t="shared" ca="1" si="14"/>
        <v>0</v>
      </c>
    </row>
    <row r="171" spans="1:5" x14ac:dyDescent="0.25">
      <c r="A171" s="2">
        <f t="shared" ca="1" si="10"/>
        <v>45931</v>
      </c>
      <c r="B171" t="str">
        <f t="shared" ca="1" si="11"/>
        <v>Plastic</v>
      </c>
      <c r="C171">
        <f t="shared" ca="1" si="12"/>
        <v>4608</v>
      </c>
      <c r="D171">
        <f t="shared" ca="1" si="13"/>
        <v>0</v>
      </c>
      <c r="E171">
        <f t="shared" ca="1" si="14"/>
        <v>0</v>
      </c>
    </row>
    <row r="172" spans="1:5" x14ac:dyDescent="0.25">
      <c r="A172" s="2">
        <f t="shared" ca="1" si="10"/>
        <v>45944</v>
      </c>
      <c r="B172" t="str">
        <f t="shared" ca="1" si="11"/>
        <v>Plastic</v>
      </c>
      <c r="C172">
        <f t="shared" ca="1" si="12"/>
        <v>4352</v>
      </c>
      <c r="D172">
        <f t="shared" ca="1" si="13"/>
        <v>0</v>
      </c>
      <c r="E172">
        <f t="shared" ca="1" si="14"/>
        <v>0</v>
      </c>
    </row>
    <row r="173" spans="1:5" x14ac:dyDescent="0.25">
      <c r="A173" s="2">
        <f t="shared" ca="1" si="10"/>
        <v>45897</v>
      </c>
      <c r="B173" t="str">
        <f t="shared" ca="1" si="11"/>
        <v>Plastic</v>
      </c>
      <c r="C173">
        <f t="shared" ca="1" si="12"/>
        <v>3015</v>
      </c>
      <c r="D173">
        <f t="shared" ca="1" si="13"/>
        <v>9</v>
      </c>
      <c r="E173">
        <f t="shared" ca="1" si="14"/>
        <v>1356.75</v>
      </c>
    </row>
    <row r="174" spans="1:5" x14ac:dyDescent="0.25">
      <c r="A174" s="2">
        <f t="shared" ca="1" si="10"/>
        <v>45824</v>
      </c>
      <c r="B174" t="str">
        <f t="shared" ca="1" si="11"/>
        <v>Plastic</v>
      </c>
      <c r="C174">
        <f t="shared" ca="1" si="12"/>
        <v>3778</v>
      </c>
      <c r="D174">
        <f t="shared" ca="1" si="13"/>
        <v>3</v>
      </c>
      <c r="E174">
        <f t="shared" ca="1" si="14"/>
        <v>566.70000000000005</v>
      </c>
    </row>
    <row r="175" spans="1:5" x14ac:dyDescent="0.25">
      <c r="A175" s="2">
        <f t="shared" ca="1" si="10"/>
        <v>45792</v>
      </c>
      <c r="B175" t="str">
        <f t="shared" ca="1" si="11"/>
        <v>Packaging</v>
      </c>
      <c r="C175">
        <f t="shared" ca="1" si="12"/>
        <v>2979</v>
      </c>
      <c r="D175">
        <f t="shared" ca="1" si="13"/>
        <v>0</v>
      </c>
      <c r="E175">
        <f t="shared" ca="1" si="14"/>
        <v>0</v>
      </c>
    </row>
    <row r="176" spans="1:5" x14ac:dyDescent="0.25">
      <c r="A176" s="2">
        <f t="shared" ca="1" si="10"/>
        <v>45810</v>
      </c>
      <c r="B176" t="str">
        <f t="shared" ca="1" si="11"/>
        <v>Chemicals</v>
      </c>
      <c r="C176">
        <f t="shared" ca="1" si="12"/>
        <v>4516</v>
      </c>
      <c r="D176">
        <f t="shared" ca="1" si="13"/>
        <v>0</v>
      </c>
      <c r="E176">
        <f t="shared" ca="1" si="14"/>
        <v>0</v>
      </c>
    </row>
    <row r="177" spans="1:5" x14ac:dyDescent="0.25">
      <c r="A177" s="2">
        <f t="shared" ca="1" si="10"/>
        <v>45793</v>
      </c>
      <c r="B177" t="str">
        <f t="shared" ca="1" si="11"/>
        <v>Plastic</v>
      </c>
      <c r="C177">
        <f t="shared" ca="1" si="12"/>
        <v>2348</v>
      </c>
      <c r="D177">
        <f t="shared" ca="1" si="13"/>
        <v>0</v>
      </c>
      <c r="E177">
        <f t="shared" ca="1" si="14"/>
        <v>0</v>
      </c>
    </row>
    <row r="178" spans="1:5" x14ac:dyDescent="0.25">
      <c r="A178" s="2">
        <f t="shared" ca="1" si="10"/>
        <v>45876</v>
      </c>
      <c r="B178" t="str">
        <f t="shared" ca="1" si="11"/>
        <v>Packaging</v>
      </c>
      <c r="C178">
        <f t="shared" ca="1" si="12"/>
        <v>2590</v>
      </c>
      <c r="D178">
        <f t="shared" ca="1" si="13"/>
        <v>0</v>
      </c>
      <c r="E178">
        <f t="shared" ca="1" si="14"/>
        <v>0</v>
      </c>
    </row>
    <row r="179" spans="1:5" x14ac:dyDescent="0.25">
      <c r="A179" s="2">
        <f t="shared" ca="1" si="10"/>
        <v>45920</v>
      </c>
      <c r="B179" t="str">
        <f t="shared" ca="1" si="11"/>
        <v>Plastic</v>
      </c>
      <c r="C179">
        <f t="shared" ca="1" si="12"/>
        <v>4521</v>
      </c>
      <c r="D179">
        <f t="shared" ca="1" si="13"/>
        <v>0</v>
      </c>
      <c r="E179">
        <f t="shared" ca="1" si="14"/>
        <v>0</v>
      </c>
    </row>
    <row r="180" spans="1:5" x14ac:dyDescent="0.25">
      <c r="A180" s="2">
        <f t="shared" ca="1" si="10"/>
        <v>45896</v>
      </c>
      <c r="B180" t="str">
        <f t="shared" ca="1" si="11"/>
        <v>Packaging</v>
      </c>
      <c r="C180">
        <f t="shared" ca="1" si="12"/>
        <v>1685</v>
      </c>
      <c r="D180">
        <f t="shared" ca="1" si="13"/>
        <v>0</v>
      </c>
      <c r="E180">
        <f t="shared" ca="1" si="14"/>
        <v>0</v>
      </c>
    </row>
    <row r="181" spans="1:5" x14ac:dyDescent="0.25">
      <c r="A181" s="2">
        <f t="shared" ca="1" si="10"/>
        <v>45923</v>
      </c>
      <c r="B181" t="str">
        <f t="shared" ca="1" si="11"/>
        <v>Steel</v>
      </c>
      <c r="C181">
        <f t="shared" ca="1" si="12"/>
        <v>1325</v>
      </c>
      <c r="D181">
        <f t="shared" ca="1" si="13"/>
        <v>9</v>
      </c>
      <c r="E181">
        <f t="shared" ca="1" si="14"/>
        <v>596.25</v>
      </c>
    </row>
    <row r="182" spans="1:5" x14ac:dyDescent="0.25">
      <c r="A182" s="2">
        <f t="shared" ca="1" si="10"/>
        <v>45890</v>
      </c>
      <c r="B182" t="str">
        <f t="shared" ca="1" si="11"/>
        <v>Plastic</v>
      </c>
      <c r="C182">
        <f t="shared" ca="1" si="12"/>
        <v>2318</v>
      </c>
      <c r="D182">
        <f t="shared" ca="1" si="13"/>
        <v>0</v>
      </c>
      <c r="E182">
        <f t="shared" ca="1" si="14"/>
        <v>0</v>
      </c>
    </row>
    <row r="183" spans="1:5" x14ac:dyDescent="0.25">
      <c r="A183" s="2">
        <f t="shared" ca="1" si="10"/>
        <v>45921</v>
      </c>
      <c r="B183" t="str">
        <f t="shared" ca="1" si="11"/>
        <v>Packaging</v>
      </c>
      <c r="C183">
        <f t="shared" ca="1" si="12"/>
        <v>4121</v>
      </c>
      <c r="D183">
        <f t="shared" ca="1" si="13"/>
        <v>3</v>
      </c>
      <c r="E183">
        <f t="shared" ca="1" si="14"/>
        <v>618.15000000000009</v>
      </c>
    </row>
    <row r="184" spans="1:5" x14ac:dyDescent="0.25">
      <c r="A184" s="2">
        <f t="shared" ca="1" si="10"/>
        <v>45884</v>
      </c>
      <c r="B184" t="str">
        <f t="shared" ca="1" si="11"/>
        <v>Packaging</v>
      </c>
      <c r="C184">
        <f t="shared" ca="1" si="12"/>
        <v>1299</v>
      </c>
      <c r="D184">
        <f t="shared" ca="1" si="13"/>
        <v>0</v>
      </c>
      <c r="E184">
        <f t="shared" ca="1" si="14"/>
        <v>0</v>
      </c>
    </row>
    <row r="185" spans="1:5" x14ac:dyDescent="0.25">
      <c r="A185" s="2">
        <f t="shared" ca="1" si="10"/>
        <v>45930</v>
      </c>
      <c r="B185" t="str">
        <f t="shared" ca="1" si="11"/>
        <v>Chemicals</v>
      </c>
      <c r="C185">
        <f t="shared" ca="1" si="12"/>
        <v>2393</v>
      </c>
      <c r="D185">
        <f t="shared" ca="1" si="13"/>
        <v>0</v>
      </c>
      <c r="E185">
        <f t="shared" ca="1" si="14"/>
        <v>0</v>
      </c>
    </row>
    <row r="186" spans="1:5" x14ac:dyDescent="0.25">
      <c r="A186" s="2">
        <f t="shared" ca="1" si="10"/>
        <v>45954</v>
      </c>
      <c r="B186" t="str">
        <f t="shared" ca="1" si="11"/>
        <v>Chemicals</v>
      </c>
      <c r="C186">
        <f t="shared" ca="1" si="12"/>
        <v>4099</v>
      </c>
      <c r="D186">
        <f t="shared" ca="1" si="13"/>
        <v>4</v>
      </c>
      <c r="E186">
        <f t="shared" ca="1" si="14"/>
        <v>819.80000000000007</v>
      </c>
    </row>
    <row r="187" spans="1:5" x14ac:dyDescent="0.25">
      <c r="A187" s="2">
        <f t="shared" ca="1" si="10"/>
        <v>45939</v>
      </c>
      <c r="B187" t="str">
        <f t="shared" ca="1" si="11"/>
        <v>Steel</v>
      </c>
      <c r="C187">
        <f t="shared" ca="1" si="12"/>
        <v>2749</v>
      </c>
      <c r="D187">
        <f t="shared" ca="1" si="13"/>
        <v>9</v>
      </c>
      <c r="E187">
        <f t="shared" ca="1" si="14"/>
        <v>1237.0500000000002</v>
      </c>
    </row>
    <row r="188" spans="1:5" x14ac:dyDescent="0.25">
      <c r="A188" s="2">
        <f t="shared" ca="1" si="10"/>
        <v>45792</v>
      </c>
      <c r="B188" t="str">
        <f t="shared" ca="1" si="11"/>
        <v>Plastic</v>
      </c>
      <c r="C188">
        <f t="shared" ca="1" si="12"/>
        <v>3673</v>
      </c>
      <c r="D188">
        <f t="shared" ca="1" si="13"/>
        <v>1</v>
      </c>
      <c r="E188">
        <f t="shared" ca="1" si="14"/>
        <v>183.65</v>
      </c>
    </row>
    <row r="189" spans="1:5" x14ac:dyDescent="0.25">
      <c r="A189" s="2">
        <f t="shared" ca="1" si="10"/>
        <v>45825</v>
      </c>
      <c r="B189" t="str">
        <f t="shared" ca="1" si="11"/>
        <v>Packaging</v>
      </c>
      <c r="C189">
        <f t="shared" ca="1" si="12"/>
        <v>1866</v>
      </c>
      <c r="D189">
        <f t="shared" ca="1" si="13"/>
        <v>5</v>
      </c>
      <c r="E189">
        <f t="shared" ca="1" si="14"/>
        <v>466.5</v>
      </c>
    </row>
    <row r="190" spans="1:5" x14ac:dyDescent="0.25">
      <c r="A190" s="2">
        <f t="shared" ca="1" si="10"/>
        <v>45905</v>
      </c>
      <c r="B190" t="str">
        <f t="shared" ca="1" si="11"/>
        <v>Chemicals</v>
      </c>
      <c r="C190">
        <f t="shared" ca="1" si="12"/>
        <v>3200</v>
      </c>
      <c r="D190">
        <f t="shared" ca="1" si="13"/>
        <v>0</v>
      </c>
      <c r="E190">
        <f t="shared" ca="1" si="14"/>
        <v>0</v>
      </c>
    </row>
    <row r="191" spans="1:5" x14ac:dyDescent="0.25">
      <c r="A191" s="2">
        <f t="shared" ca="1" si="10"/>
        <v>45908</v>
      </c>
      <c r="B191" t="str">
        <f t="shared" ca="1" si="11"/>
        <v>Steel</v>
      </c>
      <c r="C191">
        <f t="shared" ca="1" si="12"/>
        <v>4857</v>
      </c>
      <c r="D191">
        <f t="shared" ca="1" si="13"/>
        <v>0</v>
      </c>
      <c r="E191">
        <f t="shared" ca="1" si="14"/>
        <v>0</v>
      </c>
    </row>
    <row r="192" spans="1:5" x14ac:dyDescent="0.25">
      <c r="A192" s="2">
        <f t="shared" ca="1" si="10"/>
        <v>45915</v>
      </c>
      <c r="B192" t="str">
        <f t="shared" ca="1" si="11"/>
        <v>Plastic</v>
      </c>
      <c r="C192">
        <f t="shared" ca="1" si="12"/>
        <v>3825</v>
      </c>
      <c r="D192">
        <f t="shared" ca="1" si="13"/>
        <v>0</v>
      </c>
      <c r="E192">
        <f t="shared" ca="1" si="14"/>
        <v>0</v>
      </c>
    </row>
    <row r="193" spans="1:5" x14ac:dyDescent="0.25">
      <c r="A193" s="2">
        <f t="shared" ca="1" si="10"/>
        <v>45940</v>
      </c>
      <c r="B193" t="str">
        <f t="shared" ca="1" si="11"/>
        <v>Plastic</v>
      </c>
      <c r="C193">
        <f t="shared" ca="1" si="12"/>
        <v>2858</v>
      </c>
      <c r="D193">
        <f t="shared" ca="1" si="13"/>
        <v>0</v>
      </c>
      <c r="E193">
        <f t="shared" ca="1" si="14"/>
        <v>0</v>
      </c>
    </row>
    <row r="194" spans="1:5" x14ac:dyDescent="0.25">
      <c r="A194" s="2">
        <f t="shared" ref="A194:A257" ca="1" si="15">TODAY()-RANDBETWEEN(1,180)</f>
        <v>45879</v>
      </c>
      <c r="B194" t="str">
        <f t="shared" ref="B194:B257" ca="1" si="16">CHOOSE(RANDBETWEEN(1,4),"Steel","Plastic","Chemicals","Packaging")</f>
        <v>Plastic</v>
      </c>
      <c r="C194">
        <f t="shared" ref="C194:C257" ca="1" si="17">ROUND(RANDBETWEEN(1000,5000), 0)</f>
        <v>2431</v>
      </c>
      <c r="D194">
        <f t="shared" ref="D194:D257" ca="1" si="18">ROUND(CHOOSE(RANDBETWEEN(1,3), 0, 0, RANDBETWEEN(1,10)),0)</f>
        <v>1</v>
      </c>
      <c r="E194">
        <f t="shared" ref="E194:E257" ca="1" si="19">IF(D194&gt;0,D194*C194*0.05, 0)</f>
        <v>121.55000000000001</v>
      </c>
    </row>
    <row r="195" spans="1:5" x14ac:dyDescent="0.25">
      <c r="A195" s="2">
        <f t="shared" ca="1" si="15"/>
        <v>45951</v>
      </c>
      <c r="B195" t="str">
        <f t="shared" ca="1" si="16"/>
        <v>Plastic</v>
      </c>
      <c r="C195">
        <f t="shared" ca="1" si="17"/>
        <v>4751</v>
      </c>
      <c r="D195">
        <f t="shared" ca="1" si="18"/>
        <v>0</v>
      </c>
      <c r="E195">
        <f t="shared" ca="1" si="19"/>
        <v>0</v>
      </c>
    </row>
    <row r="196" spans="1:5" x14ac:dyDescent="0.25">
      <c r="A196" s="2">
        <f t="shared" ca="1" si="15"/>
        <v>45957</v>
      </c>
      <c r="B196" t="str">
        <f t="shared" ca="1" si="16"/>
        <v>Chemicals</v>
      </c>
      <c r="C196">
        <f t="shared" ca="1" si="17"/>
        <v>2999</v>
      </c>
      <c r="D196">
        <f t="shared" ca="1" si="18"/>
        <v>0</v>
      </c>
      <c r="E196">
        <f t="shared" ca="1" si="19"/>
        <v>0</v>
      </c>
    </row>
    <row r="197" spans="1:5" x14ac:dyDescent="0.25">
      <c r="A197" s="2">
        <f t="shared" ca="1" si="15"/>
        <v>45795</v>
      </c>
      <c r="B197" t="str">
        <f t="shared" ca="1" si="16"/>
        <v>Plastic</v>
      </c>
      <c r="C197">
        <f t="shared" ca="1" si="17"/>
        <v>4706</v>
      </c>
      <c r="D197">
        <f t="shared" ca="1" si="18"/>
        <v>0</v>
      </c>
      <c r="E197">
        <f t="shared" ca="1" si="19"/>
        <v>0</v>
      </c>
    </row>
    <row r="198" spans="1:5" x14ac:dyDescent="0.25">
      <c r="A198" s="2">
        <f t="shared" ca="1" si="15"/>
        <v>45859</v>
      </c>
      <c r="B198" t="str">
        <f t="shared" ca="1" si="16"/>
        <v>Packaging</v>
      </c>
      <c r="C198">
        <f t="shared" ca="1" si="17"/>
        <v>4554</v>
      </c>
      <c r="D198">
        <f t="shared" ca="1" si="18"/>
        <v>0</v>
      </c>
      <c r="E198">
        <f t="shared" ca="1" si="19"/>
        <v>0</v>
      </c>
    </row>
    <row r="199" spans="1:5" x14ac:dyDescent="0.25">
      <c r="A199" s="2">
        <f t="shared" ca="1" si="15"/>
        <v>45816</v>
      </c>
      <c r="B199" t="str">
        <f t="shared" ca="1" si="16"/>
        <v>Steel</v>
      </c>
      <c r="C199">
        <f t="shared" ca="1" si="17"/>
        <v>2834</v>
      </c>
      <c r="D199">
        <f t="shared" ca="1" si="18"/>
        <v>0</v>
      </c>
      <c r="E199">
        <f t="shared" ca="1" si="19"/>
        <v>0</v>
      </c>
    </row>
    <row r="200" spans="1:5" x14ac:dyDescent="0.25">
      <c r="A200" s="2">
        <f t="shared" ca="1" si="15"/>
        <v>45829</v>
      </c>
      <c r="B200" t="str">
        <f t="shared" ca="1" si="16"/>
        <v>Plastic</v>
      </c>
      <c r="C200">
        <f t="shared" ca="1" si="17"/>
        <v>1295</v>
      </c>
      <c r="D200">
        <f t="shared" ca="1" si="18"/>
        <v>0</v>
      </c>
      <c r="E200">
        <f t="shared" ca="1" si="19"/>
        <v>0</v>
      </c>
    </row>
    <row r="201" spans="1:5" x14ac:dyDescent="0.25">
      <c r="A201" s="2">
        <f t="shared" ca="1" si="15"/>
        <v>45834</v>
      </c>
      <c r="B201" t="str">
        <f t="shared" ca="1" si="16"/>
        <v>Steel</v>
      </c>
      <c r="C201">
        <f t="shared" ca="1" si="17"/>
        <v>1354</v>
      </c>
      <c r="D201">
        <f t="shared" ca="1" si="18"/>
        <v>0</v>
      </c>
      <c r="E201">
        <f t="shared" ca="1" si="19"/>
        <v>0</v>
      </c>
    </row>
    <row r="202" spans="1:5" x14ac:dyDescent="0.25">
      <c r="A202" s="2">
        <f t="shared" ca="1" si="15"/>
        <v>45876</v>
      </c>
      <c r="B202" t="str">
        <f t="shared" ca="1" si="16"/>
        <v>Plastic</v>
      </c>
      <c r="C202">
        <f t="shared" ca="1" si="17"/>
        <v>1334</v>
      </c>
      <c r="D202">
        <f t="shared" ca="1" si="18"/>
        <v>2</v>
      </c>
      <c r="E202">
        <f t="shared" ca="1" si="19"/>
        <v>133.4</v>
      </c>
    </row>
    <row r="203" spans="1:5" x14ac:dyDescent="0.25">
      <c r="A203" s="2">
        <f t="shared" ca="1" si="15"/>
        <v>45801</v>
      </c>
      <c r="B203" t="str">
        <f t="shared" ca="1" si="16"/>
        <v>Plastic</v>
      </c>
      <c r="C203">
        <f t="shared" ca="1" si="17"/>
        <v>3643</v>
      </c>
      <c r="D203">
        <f t="shared" ca="1" si="18"/>
        <v>8</v>
      </c>
      <c r="E203">
        <f t="shared" ca="1" si="19"/>
        <v>1457.2</v>
      </c>
    </row>
    <row r="204" spans="1:5" x14ac:dyDescent="0.25">
      <c r="A204" s="2">
        <f t="shared" ca="1" si="15"/>
        <v>45813</v>
      </c>
      <c r="B204" t="str">
        <f t="shared" ca="1" si="16"/>
        <v>Chemicals</v>
      </c>
      <c r="C204">
        <f t="shared" ca="1" si="17"/>
        <v>3311</v>
      </c>
      <c r="D204">
        <f t="shared" ca="1" si="18"/>
        <v>0</v>
      </c>
      <c r="E204">
        <f t="shared" ca="1" si="19"/>
        <v>0</v>
      </c>
    </row>
    <row r="205" spans="1:5" x14ac:dyDescent="0.25">
      <c r="A205" s="2">
        <f t="shared" ca="1" si="15"/>
        <v>45910</v>
      </c>
      <c r="B205" t="str">
        <f t="shared" ca="1" si="16"/>
        <v>Plastic</v>
      </c>
      <c r="C205">
        <f t="shared" ca="1" si="17"/>
        <v>1490</v>
      </c>
      <c r="D205">
        <f t="shared" ca="1" si="18"/>
        <v>0</v>
      </c>
      <c r="E205">
        <f t="shared" ca="1" si="19"/>
        <v>0</v>
      </c>
    </row>
    <row r="206" spans="1:5" x14ac:dyDescent="0.25">
      <c r="A206" s="2">
        <f t="shared" ca="1" si="15"/>
        <v>45947</v>
      </c>
      <c r="B206" t="str">
        <f t="shared" ca="1" si="16"/>
        <v>Packaging</v>
      </c>
      <c r="C206">
        <f t="shared" ca="1" si="17"/>
        <v>4060</v>
      </c>
      <c r="D206">
        <f t="shared" ca="1" si="18"/>
        <v>0</v>
      </c>
      <c r="E206">
        <f t="shared" ca="1" si="19"/>
        <v>0</v>
      </c>
    </row>
    <row r="207" spans="1:5" x14ac:dyDescent="0.25">
      <c r="A207" s="2">
        <f t="shared" ca="1" si="15"/>
        <v>45830</v>
      </c>
      <c r="B207" t="str">
        <f t="shared" ca="1" si="16"/>
        <v>Steel</v>
      </c>
      <c r="C207">
        <f t="shared" ca="1" si="17"/>
        <v>1367</v>
      </c>
      <c r="D207">
        <f t="shared" ca="1" si="18"/>
        <v>0</v>
      </c>
      <c r="E207">
        <f t="shared" ca="1" si="19"/>
        <v>0</v>
      </c>
    </row>
    <row r="208" spans="1:5" x14ac:dyDescent="0.25">
      <c r="A208" s="2">
        <f t="shared" ca="1" si="15"/>
        <v>45898</v>
      </c>
      <c r="B208" t="str">
        <f t="shared" ca="1" si="16"/>
        <v>Steel</v>
      </c>
      <c r="C208">
        <f t="shared" ca="1" si="17"/>
        <v>1032</v>
      </c>
      <c r="D208">
        <f t="shared" ca="1" si="18"/>
        <v>0</v>
      </c>
      <c r="E208">
        <f t="shared" ca="1" si="19"/>
        <v>0</v>
      </c>
    </row>
    <row r="209" spans="1:5" x14ac:dyDescent="0.25">
      <c r="A209" s="2">
        <f t="shared" ca="1" si="15"/>
        <v>45915</v>
      </c>
      <c r="B209" t="str">
        <f t="shared" ca="1" si="16"/>
        <v>Packaging</v>
      </c>
      <c r="C209">
        <f t="shared" ca="1" si="17"/>
        <v>2568</v>
      </c>
      <c r="D209">
        <f t="shared" ca="1" si="18"/>
        <v>4</v>
      </c>
      <c r="E209">
        <f t="shared" ca="1" si="19"/>
        <v>513.6</v>
      </c>
    </row>
    <row r="210" spans="1:5" x14ac:dyDescent="0.25">
      <c r="A210" s="2">
        <f t="shared" ca="1" si="15"/>
        <v>45955</v>
      </c>
      <c r="B210" t="str">
        <f t="shared" ca="1" si="16"/>
        <v>Chemicals</v>
      </c>
      <c r="C210">
        <f t="shared" ca="1" si="17"/>
        <v>1032</v>
      </c>
      <c r="D210">
        <f t="shared" ca="1" si="18"/>
        <v>0</v>
      </c>
      <c r="E210">
        <f t="shared" ca="1" si="19"/>
        <v>0</v>
      </c>
    </row>
    <row r="211" spans="1:5" x14ac:dyDescent="0.25">
      <c r="A211" s="2">
        <f t="shared" ca="1" si="15"/>
        <v>45811</v>
      </c>
      <c r="B211" t="str">
        <f t="shared" ca="1" si="16"/>
        <v>Steel</v>
      </c>
      <c r="C211">
        <f t="shared" ca="1" si="17"/>
        <v>1352</v>
      </c>
      <c r="D211">
        <f t="shared" ca="1" si="18"/>
        <v>0</v>
      </c>
      <c r="E211">
        <f t="shared" ca="1" si="19"/>
        <v>0</v>
      </c>
    </row>
    <row r="212" spans="1:5" x14ac:dyDescent="0.25">
      <c r="A212" s="2">
        <f t="shared" ca="1" si="15"/>
        <v>45890</v>
      </c>
      <c r="B212" t="str">
        <f t="shared" ca="1" si="16"/>
        <v>Packaging</v>
      </c>
      <c r="C212">
        <f t="shared" ca="1" si="17"/>
        <v>4771</v>
      </c>
      <c r="D212">
        <f t="shared" ca="1" si="18"/>
        <v>0</v>
      </c>
      <c r="E212">
        <f t="shared" ca="1" si="19"/>
        <v>0</v>
      </c>
    </row>
    <row r="213" spans="1:5" x14ac:dyDescent="0.25">
      <c r="A213" s="2">
        <f t="shared" ca="1" si="15"/>
        <v>45856</v>
      </c>
      <c r="B213" t="str">
        <f t="shared" ca="1" si="16"/>
        <v>Steel</v>
      </c>
      <c r="C213">
        <f t="shared" ca="1" si="17"/>
        <v>3929</v>
      </c>
      <c r="D213">
        <f t="shared" ca="1" si="18"/>
        <v>0</v>
      </c>
      <c r="E213">
        <f t="shared" ca="1" si="19"/>
        <v>0</v>
      </c>
    </row>
    <row r="214" spans="1:5" x14ac:dyDescent="0.25">
      <c r="A214" s="2">
        <f t="shared" ca="1" si="15"/>
        <v>45879</v>
      </c>
      <c r="B214" t="str">
        <f t="shared" ca="1" si="16"/>
        <v>Packaging</v>
      </c>
      <c r="C214">
        <f t="shared" ca="1" si="17"/>
        <v>4607</v>
      </c>
      <c r="D214">
        <f t="shared" ca="1" si="18"/>
        <v>9</v>
      </c>
      <c r="E214">
        <f t="shared" ca="1" si="19"/>
        <v>2073.15</v>
      </c>
    </row>
    <row r="215" spans="1:5" x14ac:dyDescent="0.25">
      <c r="A215" s="2">
        <f t="shared" ca="1" si="15"/>
        <v>45883</v>
      </c>
      <c r="B215" t="str">
        <f t="shared" ca="1" si="16"/>
        <v>Steel</v>
      </c>
      <c r="C215">
        <f t="shared" ca="1" si="17"/>
        <v>2853</v>
      </c>
      <c r="D215">
        <f t="shared" ca="1" si="18"/>
        <v>0</v>
      </c>
      <c r="E215">
        <f t="shared" ca="1" si="19"/>
        <v>0</v>
      </c>
    </row>
    <row r="216" spans="1:5" x14ac:dyDescent="0.25">
      <c r="A216" s="2">
        <f t="shared" ca="1" si="15"/>
        <v>45794</v>
      </c>
      <c r="B216" t="str">
        <f t="shared" ca="1" si="16"/>
        <v>Plastic</v>
      </c>
      <c r="C216">
        <f t="shared" ca="1" si="17"/>
        <v>2112</v>
      </c>
      <c r="D216">
        <f t="shared" ca="1" si="18"/>
        <v>1</v>
      </c>
      <c r="E216">
        <f t="shared" ca="1" si="19"/>
        <v>105.60000000000001</v>
      </c>
    </row>
    <row r="217" spans="1:5" x14ac:dyDescent="0.25">
      <c r="A217" s="2">
        <f t="shared" ca="1" si="15"/>
        <v>45896</v>
      </c>
      <c r="B217" t="str">
        <f t="shared" ca="1" si="16"/>
        <v>Plastic</v>
      </c>
      <c r="C217">
        <f t="shared" ca="1" si="17"/>
        <v>2413</v>
      </c>
      <c r="D217">
        <f t="shared" ca="1" si="18"/>
        <v>3</v>
      </c>
      <c r="E217">
        <f t="shared" ca="1" si="19"/>
        <v>361.95000000000005</v>
      </c>
    </row>
    <row r="218" spans="1:5" x14ac:dyDescent="0.25">
      <c r="A218" s="2">
        <f t="shared" ca="1" si="15"/>
        <v>45925</v>
      </c>
      <c r="B218" t="str">
        <f t="shared" ca="1" si="16"/>
        <v>Steel</v>
      </c>
      <c r="C218">
        <f t="shared" ca="1" si="17"/>
        <v>3870</v>
      </c>
      <c r="D218">
        <f t="shared" ca="1" si="18"/>
        <v>0</v>
      </c>
      <c r="E218">
        <f t="shared" ca="1" si="19"/>
        <v>0</v>
      </c>
    </row>
    <row r="219" spans="1:5" x14ac:dyDescent="0.25">
      <c r="A219" s="2">
        <f t="shared" ca="1" si="15"/>
        <v>45950</v>
      </c>
      <c r="B219" t="str">
        <f t="shared" ca="1" si="16"/>
        <v>Steel</v>
      </c>
      <c r="C219">
        <f t="shared" ca="1" si="17"/>
        <v>3680</v>
      </c>
      <c r="D219">
        <f t="shared" ca="1" si="18"/>
        <v>7</v>
      </c>
      <c r="E219">
        <f t="shared" ca="1" si="19"/>
        <v>1288</v>
      </c>
    </row>
    <row r="220" spans="1:5" x14ac:dyDescent="0.25">
      <c r="A220" s="2">
        <f t="shared" ca="1" si="15"/>
        <v>45883</v>
      </c>
      <c r="B220" t="str">
        <f t="shared" ca="1" si="16"/>
        <v>Chemicals</v>
      </c>
      <c r="C220">
        <f t="shared" ca="1" si="17"/>
        <v>4057</v>
      </c>
      <c r="D220">
        <f t="shared" ca="1" si="18"/>
        <v>3</v>
      </c>
      <c r="E220">
        <f t="shared" ca="1" si="19"/>
        <v>608.55000000000007</v>
      </c>
    </row>
    <row r="221" spans="1:5" x14ac:dyDescent="0.25">
      <c r="A221" s="2">
        <f t="shared" ca="1" si="15"/>
        <v>45919</v>
      </c>
      <c r="B221" t="str">
        <f t="shared" ca="1" si="16"/>
        <v>Steel</v>
      </c>
      <c r="C221">
        <f t="shared" ca="1" si="17"/>
        <v>1026</v>
      </c>
      <c r="D221">
        <f t="shared" ca="1" si="18"/>
        <v>0</v>
      </c>
      <c r="E221">
        <f t="shared" ca="1" si="19"/>
        <v>0</v>
      </c>
    </row>
    <row r="222" spans="1:5" x14ac:dyDescent="0.25">
      <c r="A222" s="2">
        <f t="shared" ca="1" si="15"/>
        <v>45861</v>
      </c>
      <c r="B222" t="str">
        <f t="shared" ca="1" si="16"/>
        <v>Steel</v>
      </c>
      <c r="C222">
        <f t="shared" ca="1" si="17"/>
        <v>4371</v>
      </c>
      <c r="D222">
        <f t="shared" ca="1" si="18"/>
        <v>0</v>
      </c>
      <c r="E222">
        <f t="shared" ca="1" si="19"/>
        <v>0</v>
      </c>
    </row>
    <row r="223" spans="1:5" x14ac:dyDescent="0.25">
      <c r="A223" s="2">
        <f t="shared" ca="1" si="15"/>
        <v>45846</v>
      </c>
      <c r="B223" t="str">
        <f t="shared" ca="1" si="16"/>
        <v>Packaging</v>
      </c>
      <c r="C223">
        <f t="shared" ca="1" si="17"/>
        <v>1530</v>
      </c>
      <c r="D223">
        <f t="shared" ca="1" si="18"/>
        <v>0</v>
      </c>
      <c r="E223">
        <f t="shared" ca="1" si="19"/>
        <v>0</v>
      </c>
    </row>
    <row r="224" spans="1:5" x14ac:dyDescent="0.25">
      <c r="A224" s="2">
        <f t="shared" ca="1" si="15"/>
        <v>45928</v>
      </c>
      <c r="B224" t="str">
        <f t="shared" ca="1" si="16"/>
        <v>Chemicals</v>
      </c>
      <c r="C224">
        <f t="shared" ca="1" si="17"/>
        <v>2454</v>
      </c>
      <c r="D224">
        <f t="shared" ca="1" si="18"/>
        <v>0</v>
      </c>
      <c r="E224">
        <f t="shared" ca="1" si="19"/>
        <v>0</v>
      </c>
    </row>
    <row r="225" spans="1:5" x14ac:dyDescent="0.25">
      <c r="A225" s="2">
        <f t="shared" ca="1" si="15"/>
        <v>45889</v>
      </c>
      <c r="B225" t="str">
        <f t="shared" ca="1" si="16"/>
        <v>Chemicals</v>
      </c>
      <c r="C225">
        <f t="shared" ca="1" si="17"/>
        <v>4380</v>
      </c>
      <c r="D225">
        <f t="shared" ca="1" si="18"/>
        <v>0</v>
      </c>
      <c r="E225">
        <f t="shared" ca="1" si="19"/>
        <v>0</v>
      </c>
    </row>
    <row r="226" spans="1:5" x14ac:dyDescent="0.25">
      <c r="A226" s="2">
        <f t="shared" ca="1" si="15"/>
        <v>45807</v>
      </c>
      <c r="B226" t="str">
        <f t="shared" ca="1" si="16"/>
        <v>Steel</v>
      </c>
      <c r="C226">
        <f t="shared" ca="1" si="17"/>
        <v>4678</v>
      </c>
      <c r="D226">
        <f t="shared" ca="1" si="18"/>
        <v>6</v>
      </c>
      <c r="E226">
        <f t="shared" ca="1" si="19"/>
        <v>1403.4</v>
      </c>
    </row>
    <row r="227" spans="1:5" x14ac:dyDescent="0.25">
      <c r="A227" s="2">
        <f t="shared" ca="1" si="15"/>
        <v>45878</v>
      </c>
      <c r="B227" t="str">
        <f t="shared" ca="1" si="16"/>
        <v>Plastic</v>
      </c>
      <c r="C227">
        <f t="shared" ca="1" si="17"/>
        <v>2494</v>
      </c>
      <c r="D227">
        <f t="shared" ca="1" si="18"/>
        <v>0</v>
      </c>
      <c r="E227">
        <f t="shared" ca="1" si="19"/>
        <v>0</v>
      </c>
    </row>
    <row r="228" spans="1:5" x14ac:dyDescent="0.25">
      <c r="A228" s="2">
        <f t="shared" ca="1" si="15"/>
        <v>45903</v>
      </c>
      <c r="B228" t="str">
        <f t="shared" ca="1" si="16"/>
        <v>Packaging</v>
      </c>
      <c r="C228">
        <f t="shared" ca="1" si="17"/>
        <v>3782</v>
      </c>
      <c r="D228">
        <f t="shared" ca="1" si="18"/>
        <v>9</v>
      </c>
      <c r="E228">
        <f t="shared" ca="1" si="19"/>
        <v>1701.9</v>
      </c>
    </row>
    <row r="229" spans="1:5" x14ac:dyDescent="0.25">
      <c r="A229" s="2">
        <f t="shared" ca="1" si="15"/>
        <v>45942</v>
      </c>
      <c r="B229" t="str">
        <f t="shared" ca="1" si="16"/>
        <v>Steel</v>
      </c>
      <c r="C229">
        <f t="shared" ca="1" si="17"/>
        <v>1921</v>
      </c>
      <c r="D229">
        <f t="shared" ca="1" si="18"/>
        <v>0</v>
      </c>
      <c r="E229">
        <f t="shared" ca="1" si="19"/>
        <v>0</v>
      </c>
    </row>
    <row r="230" spans="1:5" x14ac:dyDescent="0.25">
      <c r="A230" s="2">
        <f t="shared" ca="1" si="15"/>
        <v>45854</v>
      </c>
      <c r="B230" t="str">
        <f t="shared" ca="1" si="16"/>
        <v>Chemicals</v>
      </c>
      <c r="C230">
        <f t="shared" ca="1" si="17"/>
        <v>1324</v>
      </c>
      <c r="D230">
        <f t="shared" ca="1" si="18"/>
        <v>8</v>
      </c>
      <c r="E230">
        <f t="shared" ca="1" si="19"/>
        <v>529.6</v>
      </c>
    </row>
    <row r="231" spans="1:5" x14ac:dyDescent="0.25">
      <c r="A231" s="2">
        <f t="shared" ca="1" si="15"/>
        <v>45948</v>
      </c>
      <c r="B231" t="str">
        <f t="shared" ca="1" si="16"/>
        <v>Plastic</v>
      </c>
      <c r="C231">
        <f t="shared" ca="1" si="17"/>
        <v>3282</v>
      </c>
      <c r="D231">
        <f t="shared" ca="1" si="18"/>
        <v>0</v>
      </c>
      <c r="E231">
        <f t="shared" ca="1" si="19"/>
        <v>0</v>
      </c>
    </row>
    <row r="232" spans="1:5" x14ac:dyDescent="0.25">
      <c r="A232" s="2">
        <f t="shared" ca="1" si="15"/>
        <v>45887</v>
      </c>
      <c r="B232" t="str">
        <f t="shared" ca="1" si="16"/>
        <v>Plastic</v>
      </c>
      <c r="C232">
        <f t="shared" ca="1" si="17"/>
        <v>1311</v>
      </c>
      <c r="D232">
        <f t="shared" ca="1" si="18"/>
        <v>4</v>
      </c>
      <c r="E232">
        <f t="shared" ca="1" si="19"/>
        <v>262.2</v>
      </c>
    </row>
    <row r="233" spans="1:5" x14ac:dyDescent="0.25">
      <c r="A233" s="2">
        <f t="shared" ca="1" si="15"/>
        <v>45866</v>
      </c>
      <c r="B233" t="str">
        <f t="shared" ca="1" si="16"/>
        <v>Packaging</v>
      </c>
      <c r="C233">
        <f t="shared" ca="1" si="17"/>
        <v>1842</v>
      </c>
      <c r="D233">
        <f t="shared" ca="1" si="18"/>
        <v>0</v>
      </c>
      <c r="E233">
        <f t="shared" ca="1" si="19"/>
        <v>0</v>
      </c>
    </row>
    <row r="234" spans="1:5" x14ac:dyDescent="0.25">
      <c r="A234" s="2">
        <f t="shared" ca="1" si="15"/>
        <v>45831</v>
      </c>
      <c r="B234" t="str">
        <f t="shared" ca="1" si="16"/>
        <v>Plastic</v>
      </c>
      <c r="C234">
        <f t="shared" ca="1" si="17"/>
        <v>4680</v>
      </c>
      <c r="D234">
        <f t="shared" ca="1" si="18"/>
        <v>0</v>
      </c>
      <c r="E234">
        <f t="shared" ca="1" si="19"/>
        <v>0</v>
      </c>
    </row>
    <row r="235" spans="1:5" x14ac:dyDescent="0.25">
      <c r="A235" s="2">
        <f t="shared" ca="1" si="15"/>
        <v>45884</v>
      </c>
      <c r="B235" t="str">
        <f t="shared" ca="1" si="16"/>
        <v>Chemicals</v>
      </c>
      <c r="C235">
        <f t="shared" ca="1" si="17"/>
        <v>1382</v>
      </c>
      <c r="D235">
        <f t="shared" ca="1" si="18"/>
        <v>0</v>
      </c>
      <c r="E235">
        <f t="shared" ca="1" si="19"/>
        <v>0</v>
      </c>
    </row>
    <row r="236" spans="1:5" x14ac:dyDescent="0.25">
      <c r="A236" s="2">
        <f t="shared" ca="1" si="15"/>
        <v>45860</v>
      </c>
      <c r="B236" t="str">
        <f t="shared" ca="1" si="16"/>
        <v>Plastic</v>
      </c>
      <c r="C236">
        <f t="shared" ca="1" si="17"/>
        <v>4230</v>
      </c>
      <c r="D236">
        <f t="shared" ca="1" si="18"/>
        <v>0</v>
      </c>
      <c r="E236">
        <f t="shared" ca="1" si="19"/>
        <v>0</v>
      </c>
    </row>
    <row r="237" spans="1:5" x14ac:dyDescent="0.25">
      <c r="A237" s="2">
        <f t="shared" ca="1" si="15"/>
        <v>45874</v>
      </c>
      <c r="B237" t="str">
        <f t="shared" ca="1" si="16"/>
        <v>Packaging</v>
      </c>
      <c r="C237">
        <f t="shared" ca="1" si="17"/>
        <v>3161</v>
      </c>
      <c r="D237">
        <f t="shared" ca="1" si="18"/>
        <v>0</v>
      </c>
      <c r="E237">
        <f t="shared" ca="1" si="19"/>
        <v>0</v>
      </c>
    </row>
    <row r="238" spans="1:5" x14ac:dyDescent="0.25">
      <c r="A238" s="2">
        <f t="shared" ca="1" si="15"/>
        <v>45885</v>
      </c>
      <c r="B238" t="str">
        <f t="shared" ca="1" si="16"/>
        <v>Packaging</v>
      </c>
      <c r="C238">
        <f t="shared" ca="1" si="17"/>
        <v>4173</v>
      </c>
      <c r="D238">
        <f t="shared" ca="1" si="18"/>
        <v>9</v>
      </c>
      <c r="E238">
        <f t="shared" ca="1" si="19"/>
        <v>1877.8500000000001</v>
      </c>
    </row>
    <row r="239" spans="1:5" x14ac:dyDescent="0.25">
      <c r="A239" s="2">
        <f t="shared" ca="1" si="15"/>
        <v>45816</v>
      </c>
      <c r="B239" t="str">
        <f t="shared" ca="1" si="16"/>
        <v>Packaging</v>
      </c>
      <c r="C239">
        <f t="shared" ca="1" si="17"/>
        <v>3620</v>
      </c>
      <c r="D239">
        <f t="shared" ca="1" si="18"/>
        <v>0</v>
      </c>
      <c r="E239">
        <f t="shared" ca="1" si="19"/>
        <v>0</v>
      </c>
    </row>
    <row r="240" spans="1:5" x14ac:dyDescent="0.25">
      <c r="A240" s="2">
        <f t="shared" ca="1" si="15"/>
        <v>45826</v>
      </c>
      <c r="B240" t="str">
        <f t="shared" ca="1" si="16"/>
        <v>Plastic</v>
      </c>
      <c r="C240">
        <f t="shared" ca="1" si="17"/>
        <v>1336</v>
      </c>
      <c r="D240">
        <f t="shared" ca="1" si="18"/>
        <v>0</v>
      </c>
      <c r="E240">
        <f t="shared" ca="1" si="19"/>
        <v>0</v>
      </c>
    </row>
    <row r="241" spans="1:5" x14ac:dyDescent="0.25">
      <c r="A241" s="2">
        <f t="shared" ca="1" si="15"/>
        <v>45872</v>
      </c>
      <c r="B241" t="str">
        <f t="shared" ca="1" si="16"/>
        <v>Chemicals</v>
      </c>
      <c r="C241">
        <f t="shared" ca="1" si="17"/>
        <v>3141</v>
      </c>
      <c r="D241">
        <f t="shared" ca="1" si="18"/>
        <v>2</v>
      </c>
      <c r="E241">
        <f t="shared" ca="1" si="19"/>
        <v>314.10000000000002</v>
      </c>
    </row>
    <row r="242" spans="1:5" x14ac:dyDescent="0.25">
      <c r="A242" s="2">
        <f t="shared" ca="1" si="15"/>
        <v>45876</v>
      </c>
      <c r="B242" t="str">
        <f t="shared" ca="1" si="16"/>
        <v>Chemicals</v>
      </c>
      <c r="C242">
        <f t="shared" ca="1" si="17"/>
        <v>2377</v>
      </c>
      <c r="D242">
        <f t="shared" ca="1" si="18"/>
        <v>6</v>
      </c>
      <c r="E242">
        <f t="shared" ca="1" si="19"/>
        <v>713.1</v>
      </c>
    </row>
    <row r="243" spans="1:5" x14ac:dyDescent="0.25">
      <c r="A243" s="2">
        <f t="shared" ca="1" si="15"/>
        <v>45873</v>
      </c>
      <c r="B243" t="str">
        <f t="shared" ca="1" si="16"/>
        <v>Plastic</v>
      </c>
      <c r="C243">
        <f t="shared" ca="1" si="17"/>
        <v>1247</v>
      </c>
      <c r="D243">
        <f t="shared" ca="1" si="18"/>
        <v>2</v>
      </c>
      <c r="E243">
        <f t="shared" ca="1" si="19"/>
        <v>124.7</v>
      </c>
    </row>
    <row r="244" spans="1:5" x14ac:dyDescent="0.25">
      <c r="A244" s="2">
        <f t="shared" ca="1" si="15"/>
        <v>45851</v>
      </c>
      <c r="B244" t="str">
        <f t="shared" ca="1" si="16"/>
        <v>Chemicals</v>
      </c>
      <c r="C244">
        <f t="shared" ca="1" si="17"/>
        <v>2339</v>
      </c>
      <c r="D244">
        <f t="shared" ca="1" si="18"/>
        <v>0</v>
      </c>
      <c r="E244">
        <f t="shared" ca="1" si="19"/>
        <v>0</v>
      </c>
    </row>
    <row r="245" spans="1:5" x14ac:dyDescent="0.25">
      <c r="A245" s="2">
        <f t="shared" ca="1" si="15"/>
        <v>45961</v>
      </c>
      <c r="B245" t="str">
        <f t="shared" ca="1" si="16"/>
        <v>Steel</v>
      </c>
      <c r="C245">
        <f t="shared" ca="1" si="17"/>
        <v>3208</v>
      </c>
      <c r="D245">
        <f t="shared" ca="1" si="18"/>
        <v>0</v>
      </c>
      <c r="E245">
        <f t="shared" ca="1" si="19"/>
        <v>0</v>
      </c>
    </row>
    <row r="246" spans="1:5" x14ac:dyDescent="0.25">
      <c r="A246" s="2">
        <f t="shared" ca="1" si="15"/>
        <v>45944</v>
      </c>
      <c r="B246" t="str">
        <f t="shared" ca="1" si="16"/>
        <v>Chemicals</v>
      </c>
      <c r="C246">
        <f t="shared" ca="1" si="17"/>
        <v>1815</v>
      </c>
      <c r="D246">
        <f t="shared" ca="1" si="18"/>
        <v>0</v>
      </c>
      <c r="E246">
        <f t="shared" ca="1" si="19"/>
        <v>0</v>
      </c>
    </row>
    <row r="247" spans="1:5" x14ac:dyDescent="0.25">
      <c r="A247" s="2">
        <f t="shared" ca="1" si="15"/>
        <v>45854</v>
      </c>
      <c r="B247" t="str">
        <f t="shared" ca="1" si="16"/>
        <v>Packaging</v>
      </c>
      <c r="C247">
        <f t="shared" ca="1" si="17"/>
        <v>3649</v>
      </c>
      <c r="D247">
        <f t="shared" ca="1" si="18"/>
        <v>10</v>
      </c>
      <c r="E247">
        <f t="shared" ca="1" si="19"/>
        <v>1824.5</v>
      </c>
    </row>
    <row r="248" spans="1:5" x14ac:dyDescent="0.25">
      <c r="A248" s="2">
        <f t="shared" ca="1" si="15"/>
        <v>45870</v>
      </c>
      <c r="B248" t="str">
        <f t="shared" ca="1" si="16"/>
        <v>Chemicals</v>
      </c>
      <c r="C248">
        <f t="shared" ca="1" si="17"/>
        <v>2874</v>
      </c>
      <c r="D248">
        <f t="shared" ca="1" si="18"/>
        <v>0</v>
      </c>
      <c r="E248">
        <f t="shared" ca="1" si="19"/>
        <v>0</v>
      </c>
    </row>
    <row r="249" spans="1:5" x14ac:dyDescent="0.25">
      <c r="A249" s="2">
        <f t="shared" ca="1" si="15"/>
        <v>45919</v>
      </c>
      <c r="B249" t="str">
        <f t="shared" ca="1" si="16"/>
        <v>Packaging</v>
      </c>
      <c r="C249">
        <f t="shared" ca="1" si="17"/>
        <v>3911</v>
      </c>
      <c r="D249">
        <f t="shared" ca="1" si="18"/>
        <v>9</v>
      </c>
      <c r="E249">
        <f t="shared" ca="1" si="19"/>
        <v>1759.95</v>
      </c>
    </row>
    <row r="250" spans="1:5" x14ac:dyDescent="0.25">
      <c r="A250" s="2">
        <f t="shared" ca="1" si="15"/>
        <v>45856</v>
      </c>
      <c r="B250" t="str">
        <f t="shared" ca="1" si="16"/>
        <v>Steel</v>
      </c>
      <c r="C250">
        <f t="shared" ca="1" si="17"/>
        <v>2946</v>
      </c>
      <c r="D250">
        <f t="shared" ca="1" si="18"/>
        <v>0</v>
      </c>
      <c r="E250">
        <f t="shared" ca="1" si="19"/>
        <v>0</v>
      </c>
    </row>
    <row r="251" spans="1:5" x14ac:dyDescent="0.25">
      <c r="A251" s="2">
        <f t="shared" ca="1" si="15"/>
        <v>45905</v>
      </c>
      <c r="B251" t="str">
        <f t="shared" ca="1" si="16"/>
        <v>Chemicals</v>
      </c>
      <c r="C251">
        <f t="shared" ca="1" si="17"/>
        <v>4196</v>
      </c>
      <c r="D251">
        <f t="shared" ca="1" si="18"/>
        <v>0</v>
      </c>
      <c r="E251">
        <f t="shared" ca="1" si="19"/>
        <v>0</v>
      </c>
    </row>
    <row r="252" spans="1:5" x14ac:dyDescent="0.25">
      <c r="A252" s="2">
        <f t="shared" ca="1" si="15"/>
        <v>45934</v>
      </c>
      <c r="B252" t="str">
        <f t="shared" ca="1" si="16"/>
        <v>Packaging</v>
      </c>
      <c r="C252">
        <f t="shared" ca="1" si="17"/>
        <v>4684</v>
      </c>
      <c r="D252">
        <f t="shared" ca="1" si="18"/>
        <v>8</v>
      </c>
      <c r="E252">
        <f t="shared" ca="1" si="19"/>
        <v>1873.6000000000001</v>
      </c>
    </row>
    <row r="253" spans="1:5" x14ac:dyDescent="0.25">
      <c r="A253" s="2">
        <f t="shared" ca="1" si="15"/>
        <v>45826</v>
      </c>
      <c r="B253" t="str">
        <f t="shared" ca="1" si="16"/>
        <v>Plastic</v>
      </c>
      <c r="C253">
        <f t="shared" ca="1" si="17"/>
        <v>2649</v>
      </c>
      <c r="D253">
        <f t="shared" ca="1" si="18"/>
        <v>4</v>
      </c>
      <c r="E253">
        <f t="shared" ca="1" si="19"/>
        <v>529.80000000000007</v>
      </c>
    </row>
    <row r="254" spans="1:5" x14ac:dyDescent="0.25">
      <c r="A254" s="2">
        <f t="shared" ca="1" si="15"/>
        <v>45818</v>
      </c>
      <c r="B254" t="str">
        <f t="shared" ca="1" si="16"/>
        <v>Steel</v>
      </c>
      <c r="C254">
        <f t="shared" ca="1" si="17"/>
        <v>4145</v>
      </c>
      <c r="D254">
        <f t="shared" ca="1" si="18"/>
        <v>0</v>
      </c>
      <c r="E254">
        <f t="shared" ca="1" si="19"/>
        <v>0</v>
      </c>
    </row>
    <row r="255" spans="1:5" x14ac:dyDescent="0.25">
      <c r="A255" s="2">
        <f t="shared" ca="1" si="15"/>
        <v>45802</v>
      </c>
      <c r="B255" t="str">
        <f t="shared" ca="1" si="16"/>
        <v>Plastic</v>
      </c>
      <c r="C255">
        <f t="shared" ca="1" si="17"/>
        <v>3177</v>
      </c>
      <c r="D255">
        <f t="shared" ca="1" si="18"/>
        <v>0</v>
      </c>
      <c r="E255">
        <f t="shared" ca="1" si="19"/>
        <v>0</v>
      </c>
    </row>
    <row r="256" spans="1:5" x14ac:dyDescent="0.25">
      <c r="A256" s="2">
        <f t="shared" ca="1" si="15"/>
        <v>45794</v>
      </c>
      <c r="B256" t="str">
        <f t="shared" ca="1" si="16"/>
        <v>Packaging</v>
      </c>
      <c r="C256">
        <f t="shared" ca="1" si="17"/>
        <v>3634</v>
      </c>
      <c r="D256">
        <f t="shared" ca="1" si="18"/>
        <v>0</v>
      </c>
      <c r="E256">
        <f t="shared" ca="1" si="19"/>
        <v>0</v>
      </c>
    </row>
    <row r="257" spans="1:5" x14ac:dyDescent="0.25">
      <c r="A257" s="2">
        <f t="shared" ca="1" si="15"/>
        <v>45815</v>
      </c>
      <c r="B257" t="str">
        <f t="shared" ca="1" si="16"/>
        <v>Packaging</v>
      </c>
      <c r="C257">
        <f t="shared" ca="1" si="17"/>
        <v>1387</v>
      </c>
      <c r="D257">
        <f t="shared" ca="1" si="18"/>
        <v>2</v>
      </c>
      <c r="E257">
        <f t="shared" ca="1" si="19"/>
        <v>138.70000000000002</v>
      </c>
    </row>
    <row r="258" spans="1:5" x14ac:dyDescent="0.25">
      <c r="A258" s="2">
        <f t="shared" ref="A258:A321" ca="1" si="20">TODAY()-RANDBETWEEN(1,180)</f>
        <v>45897</v>
      </c>
      <c r="B258" t="str">
        <f t="shared" ref="B258:B321" ca="1" si="21">CHOOSE(RANDBETWEEN(1,4),"Steel","Plastic","Chemicals","Packaging")</f>
        <v>Plastic</v>
      </c>
      <c r="C258">
        <f t="shared" ref="C258:C321" ca="1" si="22">ROUND(RANDBETWEEN(1000,5000), 0)</f>
        <v>3857</v>
      </c>
      <c r="D258">
        <f t="shared" ref="D258:D321" ca="1" si="23">ROUND(CHOOSE(RANDBETWEEN(1,3), 0, 0, RANDBETWEEN(1,10)),0)</f>
        <v>0</v>
      </c>
      <c r="E258">
        <f t="shared" ref="E258:E321" ca="1" si="24">IF(D258&gt;0,D258*C258*0.05, 0)</f>
        <v>0</v>
      </c>
    </row>
    <row r="259" spans="1:5" x14ac:dyDescent="0.25">
      <c r="A259" s="2">
        <f t="shared" ca="1" si="20"/>
        <v>45880</v>
      </c>
      <c r="B259" t="str">
        <f t="shared" ca="1" si="21"/>
        <v>Packaging</v>
      </c>
      <c r="C259">
        <f t="shared" ca="1" si="22"/>
        <v>3019</v>
      </c>
      <c r="D259">
        <f t="shared" ca="1" si="23"/>
        <v>1</v>
      </c>
      <c r="E259">
        <f t="shared" ca="1" si="24"/>
        <v>150.95000000000002</v>
      </c>
    </row>
    <row r="260" spans="1:5" x14ac:dyDescent="0.25">
      <c r="A260" s="2">
        <f t="shared" ca="1" si="20"/>
        <v>45892</v>
      </c>
      <c r="B260" t="str">
        <f t="shared" ca="1" si="21"/>
        <v>Chemicals</v>
      </c>
      <c r="C260">
        <f t="shared" ca="1" si="22"/>
        <v>4331</v>
      </c>
      <c r="D260">
        <f t="shared" ca="1" si="23"/>
        <v>0</v>
      </c>
      <c r="E260">
        <f t="shared" ca="1" si="24"/>
        <v>0</v>
      </c>
    </row>
    <row r="261" spans="1:5" x14ac:dyDescent="0.25">
      <c r="A261" s="2">
        <f t="shared" ca="1" si="20"/>
        <v>45942</v>
      </c>
      <c r="B261" t="str">
        <f t="shared" ca="1" si="21"/>
        <v>Chemicals</v>
      </c>
      <c r="C261">
        <f t="shared" ca="1" si="22"/>
        <v>4087</v>
      </c>
      <c r="D261">
        <f t="shared" ca="1" si="23"/>
        <v>9</v>
      </c>
      <c r="E261">
        <f t="shared" ca="1" si="24"/>
        <v>1839.15</v>
      </c>
    </row>
    <row r="262" spans="1:5" x14ac:dyDescent="0.25">
      <c r="A262" s="2">
        <f t="shared" ca="1" si="20"/>
        <v>45962</v>
      </c>
      <c r="B262" t="str">
        <f t="shared" ca="1" si="21"/>
        <v>Chemicals</v>
      </c>
      <c r="C262">
        <f t="shared" ca="1" si="22"/>
        <v>1333</v>
      </c>
      <c r="D262">
        <f t="shared" ca="1" si="23"/>
        <v>0</v>
      </c>
      <c r="E262">
        <f t="shared" ca="1" si="24"/>
        <v>0</v>
      </c>
    </row>
    <row r="263" spans="1:5" x14ac:dyDescent="0.25">
      <c r="A263" s="2">
        <f t="shared" ca="1" si="20"/>
        <v>45833</v>
      </c>
      <c r="B263" t="str">
        <f t="shared" ca="1" si="21"/>
        <v>Plastic</v>
      </c>
      <c r="C263">
        <f t="shared" ca="1" si="22"/>
        <v>3449</v>
      </c>
      <c r="D263">
        <f t="shared" ca="1" si="23"/>
        <v>0</v>
      </c>
      <c r="E263">
        <f t="shared" ca="1" si="24"/>
        <v>0</v>
      </c>
    </row>
    <row r="264" spans="1:5" x14ac:dyDescent="0.25">
      <c r="A264" s="2">
        <f t="shared" ca="1" si="20"/>
        <v>45946</v>
      </c>
      <c r="B264" t="str">
        <f t="shared" ca="1" si="21"/>
        <v>Steel</v>
      </c>
      <c r="C264">
        <f t="shared" ca="1" si="22"/>
        <v>1191</v>
      </c>
      <c r="D264">
        <f t="shared" ca="1" si="23"/>
        <v>0</v>
      </c>
      <c r="E264">
        <f t="shared" ca="1" si="24"/>
        <v>0</v>
      </c>
    </row>
    <row r="265" spans="1:5" x14ac:dyDescent="0.25">
      <c r="A265" s="2">
        <f t="shared" ca="1" si="20"/>
        <v>45816</v>
      </c>
      <c r="B265" t="str">
        <f t="shared" ca="1" si="21"/>
        <v>Steel</v>
      </c>
      <c r="C265">
        <f t="shared" ca="1" si="22"/>
        <v>3617</v>
      </c>
      <c r="D265">
        <f t="shared" ca="1" si="23"/>
        <v>0</v>
      </c>
      <c r="E265">
        <f t="shared" ca="1" si="24"/>
        <v>0</v>
      </c>
    </row>
    <row r="266" spans="1:5" x14ac:dyDescent="0.25">
      <c r="A266" s="2">
        <f t="shared" ca="1" si="20"/>
        <v>45862</v>
      </c>
      <c r="B266" t="str">
        <f t="shared" ca="1" si="21"/>
        <v>Steel</v>
      </c>
      <c r="C266">
        <f t="shared" ca="1" si="22"/>
        <v>1663</v>
      </c>
      <c r="D266">
        <f t="shared" ca="1" si="23"/>
        <v>0</v>
      </c>
      <c r="E266">
        <f t="shared" ca="1" si="24"/>
        <v>0</v>
      </c>
    </row>
    <row r="267" spans="1:5" x14ac:dyDescent="0.25">
      <c r="A267" s="2">
        <f t="shared" ca="1" si="20"/>
        <v>45838</v>
      </c>
      <c r="B267" t="str">
        <f t="shared" ca="1" si="21"/>
        <v>Chemicals</v>
      </c>
      <c r="C267">
        <f t="shared" ca="1" si="22"/>
        <v>3464</v>
      </c>
      <c r="D267">
        <f t="shared" ca="1" si="23"/>
        <v>0</v>
      </c>
      <c r="E267">
        <f t="shared" ca="1" si="24"/>
        <v>0</v>
      </c>
    </row>
    <row r="268" spans="1:5" x14ac:dyDescent="0.25">
      <c r="A268" s="2">
        <f t="shared" ca="1" si="20"/>
        <v>45961</v>
      </c>
      <c r="B268" t="str">
        <f t="shared" ca="1" si="21"/>
        <v>Chemicals</v>
      </c>
      <c r="C268">
        <f t="shared" ca="1" si="22"/>
        <v>2475</v>
      </c>
      <c r="D268">
        <f t="shared" ca="1" si="23"/>
        <v>5</v>
      </c>
      <c r="E268">
        <f t="shared" ca="1" si="24"/>
        <v>618.75</v>
      </c>
    </row>
    <row r="269" spans="1:5" x14ac:dyDescent="0.25">
      <c r="A269" s="2">
        <f t="shared" ca="1" si="20"/>
        <v>45798</v>
      </c>
      <c r="B269" t="str">
        <f t="shared" ca="1" si="21"/>
        <v>Plastic</v>
      </c>
      <c r="C269">
        <f t="shared" ca="1" si="22"/>
        <v>3313</v>
      </c>
      <c r="D269">
        <f t="shared" ca="1" si="23"/>
        <v>0</v>
      </c>
      <c r="E269">
        <f t="shared" ca="1" si="24"/>
        <v>0</v>
      </c>
    </row>
    <row r="270" spans="1:5" x14ac:dyDescent="0.25">
      <c r="A270" s="2">
        <f t="shared" ca="1" si="20"/>
        <v>45889</v>
      </c>
      <c r="B270" t="str">
        <f t="shared" ca="1" si="21"/>
        <v>Chemicals</v>
      </c>
      <c r="C270">
        <f t="shared" ca="1" si="22"/>
        <v>3734</v>
      </c>
      <c r="D270">
        <f t="shared" ca="1" si="23"/>
        <v>0</v>
      </c>
      <c r="E270">
        <f t="shared" ca="1" si="24"/>
        <v>0</v>
      </c>
    </row>
    <row r="271" spans="1:5" x14ac:dyDescent="0.25">
      <c r="A271" s="2">
        <f t="shared" ca="1" si="20"/>
        <v>45877</v>
      </c>
      <c r="B271" t="str">
        <f t="shared" ca="1" si="21"/>
        <v>Packaging</v>
      </c>
      <c r="C271">
        <f t="shared" ca="1" si="22"/>
        <v>3167</v>
      </c>
      <c r="D271">
        <f t="shared" ca="1" si="23"/>
        <v>7</v>
      </c>
      <c r="E271">
        <f t="shared" ca="1" si="24"/>
        <v>1108.45</v>
      </c>
    </row>
    <row r="272" spans="1:5" x14ac:dyDescent="0.25">
      <c r="A272" s="2">
        <f t="shared" ca="1" si="20"/>
        <v>45866</v>
      </c>
      <c r="B272" t="str">
        <f t="shared" ca="1" si="21"/>
        <v>Plastic</v>
      </c>
      <c r="C272">
        <f t="shared" ca="1" si="22"/>
        <v>3066</v>
      </c>
      <c r="D272">
        <f t="shared" ca="1" si="23"/>
        <v>0</v>
      </c>
      <c r="E272">
        <f t="shared" ca="1" si="24"/>
        <v>0</v>
      </c>
    </row>
    <row r="273" spans="1:5" x14ac:dyDescent="0.25">
      <c r="A273" s="2">
        <f t="shared" ca="1" si="20"/>
        <v>45853</v>
      </c>
      <c r="B273" t="str">
        <f t="shared" ca="1" si="21"/>
        <v>Plastic</v>
      </c>
      <c r="C273">
        <f t="shared" ca="1" si="22"/>
        <v>4239</v>
      </c>
      <c r="D273">
        <f t="shared" ca="1" si="23"/>
        <v>2</v>
      </c>
      <c r="E273">
        <f t="shared" ca="1" si="24"/>
        <v>423.90000000000003</v>
      </c>
    </row>
    <row r="274" spans="1:5" x14ac:dyDescent="0.25">
      <c r="A274" s="2">
        <f t="shared" ca="1" si="20"/>
        <v>45908</v>
      </c>
      <c r="B274" t="str">
        <f t="shared" ca="1" si="21"/>
        <v>Packaging</v>
      </c>
      <c r="C274">
        <f t="shared" ca="1" si="22"/>
        <v>2366</v>
      </c>
      <c r="D274">
        <f t="shared" ca="1" si="23"/>
        <v>0</v>
      </c>
      <c r="E274">
        <f t="shared" ca="1" si="24"/>
        <v>0</v>
      </c>
    </row>
    <row r="275" spans="1:5" x14ac:dyDescent="0.25">
      <c r="A275" s="2">
        <f t="shared" ca="1" si="20"/>
        <v>45961</v>
      </c>
      <c r="B275" t="str">
        <f t="shared" ca="1" si="21"/>
        <v>Plastic</v>
      </c>
      <c r="C275">
        <f t="shared" ca="1" si="22"/>
        <v>4120</v>
      </c>
      <c r="D275">
        <f t="shared" ca="1" si="23"/>
        <v>0</v>
      </c>
      <c r="E275">
        <f t="shared" ca="1" si="24"/>
        <v>0</v>
      </c>
    </row>
    <row r="276" spans="1:5" x14ac:dyDescent="0.25">
      <c r="A276" s="2">
        <f t="shared" ca="1" si="20"/>
        <v>45839</v>
      </c>
      <c r="B276" t="str">
        <f t="shared" ca="1" si="21"/>
        <v>Packaging</v>
      </c>
      <c r="C276">
        <f t="shared" ca="1" si="22"/>
        <v>4638</v>
      </c>
      <c r="D276">
        <f t="shared" ca="1" si="23"/>
        <v>0</v>
      </c>
      <c r="E276">
        <f t="shared" ca="1" si="24"/>
        <v>0</v>
      </c>
    </row>
    <row r="277" spans="1:5" x14ac:dyDescent="0.25">
      <c r="A277" s="2">
        <f t="shared" ca="1" si="20"/>
        <v>45923</v>
      </c>
      <c r="B277" t="str">
        <f t="shared" ca="1" si="21"/>
        <v>Plastic</v>
      </c>
      <c r="C277">
        <f t="shared" ca="1" si="22"/>
        <v>3563</v>
      </c>
      <c r="D277">
        <f t="shared" ca="1" si="23"/>
        <v>0</v>
      </c>
      <c r="E277">
        <f t="shared" ca="1" si="24"/>
        <v>0</v>
      </c>
    </row>
    <row r="278" spans="1:5" x14ac:dyDescent="0.25">
      <c r="A278" s="2">
        <f t="shared" ca="1" si="20"/>
        <v>45816</v>
      </c>
      <c r="B278" t="str">
        <f t="shared" ca="1" si="21"/>
        <v>Plastic</v>
      </c>
      <c r="C278">
        <f t="shared" ca="1" si="22"/>
        <v>2308</v>
      </c>
      <c r="D278">
        <f t="shared" ca="1" si="23"/>
        <v>2</v>
      </c>
      <c r="E278">
        <f t="shared" ca="1" si="24"/>
        <v>230.8</v>
      </c>
    </row>
    <row r="279" spans="1:5" x14ac:dyDescent="0.25">
      <c r="A279" s="2">
        <f t="shared" ca="1" si="20"/>
        <v>45828</v>
      </c>
      <c r="B279" t="str">
        <f t="shared" ca="1" si="21"/>
        <v>Chemicals</v>
      </c>
      <c r="C279">
        <f t="shared" ca="1" si="22"/>
        <v>2770</v>
      </c>
      <c r="D279">
        <f t="shared" ca="1" si="23"/>
        <v>6</v>
      </c>
      <c r="E279">
        <f t="shared" ca="1" si="24"/>
        <v>831</v>
      </c>
    </row>
    <row r="280" spans="1:5" x14ac:dyDescent="0.25">
      <c r="A280" s="2">
        <f t="shared" ca="1" si="20"/>
        <v>45845</v>
      </c>
      <c r="B280" t="str">
        <f t="shared" ca="1" si="21"/>
        <v>Steel</v>
      </c>
      <c r="C280">
        <f t="shared" ca="1" si="22"/>
        <v>1523</v>
      </c>
      <c r="D280">
        <f t="shared" ca="1" si="23"/>
        <v>0</v>
      </c>
      <c r="E280">
        <f t="shared" ca="1" si="24"/>
        <v>0</v>
      </c>
    </row>
    <row r="281" spans="1:5" x14ac:dyDescent="0.25">
      <c r="A281" s="2">
        <f t="shared" ca="1" si="20"/>
        <v>45951</v>
      </c>
      <c r="B281" t="str">
        <f t="shared" ca="1" si="21"/>
        <v>Plastic</v>
      </c>
      <c r="C281">
        <f t="shared" ca="1" si="22"/>
        <v>4387</v>
      </c>
      <c r="D281">
        <f t="shared" ca="1" si="23"/>
        <v>4</v>
      </c>
      <c r="E281">
        <f t="shared" ca="1" si="24"/>
        <v>877.40000000000009</v>
      </c>
    </row>
    <row r="282" spans="1:5" x14ac:dyDescent="0.25">
      <c r="A282" s="2">
        <f t="shared" ca="1" si="20"/>
        <v>45918</v>
      </c>
      <c r="B282" t="str">
        <f t="shared" ca="1" si="21"/>
        <v>Plastic</v>
      </c>
      <c r="C282">
        <f t="shared" ca="1" si="22"/>
        <v>2679</v>
      </c>
      <c r="D282">
        <f t="shared" ca="1" si="23"/>
        <v>3</v>
      </c>
      <c r="E282">
        <f t="shared" ca="1" si="24"/>
        <v>401.85</v>
      </c>
    </row>
    <row r="283" spans="1:5" x14ac:dyDescent="0.25">
      <c r="A283" s="2">
        <f t="shared" ca="1" si="20"/>
        <v>45958</v>
      </c>
      <c r="B283" t="str">
        <f t="shared" ca="1" si="21"/>
        <v>Packaging</v>
      </c>
      <c r="C283">
        <f t="shared" ca="1" si="22"/>
        <v>4929</v>
      </c>
      <c r="D283">
        <f t="shared" ca="1" si="23"/>
        <v>0</v>
      </c>
      <c r="E283">
        <f t="shared" ca="1" si="24"/>
        <v>0</v>
      </c>
    </row>
    <row r="284" spans="1:5" x14ac:dyDescent="0.25">
      <c r="A284" s="2">
        <f t="shared" ca="1" si="20"/>
        <v>45941</v>
      </c>
      <c r="B284" t="str">
        <f t="shared" ca="1" si="21"/>
        <v>Steel</v>
      </c>
      <c r="C284">
        <f t="shared" ca="1" si="22"/>
        <v>4827</v>
      </c>
      <c r="D284">
        <f t="shared" ca="1" si="23"/>
        <v>0</v>
      </c>
      <c r="E284">
        <f t="shared" ca="1" si="24"/>
        <v>0</v>
      </c>
    </row>
    <row r="285" spans="1:5" x14ac:dyDescent="0.25">
      <c r="A285" s="2">
        <f t="shared" ca="1" si="20"/>
        <v>45892</v>
      </c>
      <c r="B285" t="str">
        <f t="shared" ca="1" si="21"/>
        <v>Plastic</v>
      </c>
      <c r="C285">
        <f t="shared" ca="1" si="22"/>
        <v>3998</v>
      </c>
      <c r="D285">
        <f t="shared" ca="1" si="23"/>
        <v>1</v>
      </c>
      <c r="E285">
        <f t="shared" ca="1" si="24"/>
        <v>199.9</v>
      </c>
    </row>
    <row r="286" spans="1:5" x14ac:dyDescent="0.25">
      <c r="A286" s="2">
        <f t="shared" ca="1" si="20"/>
        <v>45857</v>
      </c>
      <c r="B286" t="str">
        <f t="shared" ca="1" si="21"/>
        <v>Chemicals</v>
      </c>
      <c r="C286">
        <f t="shared" ca="1" si="22"/>
        <v>2933</v>
      </c>
      <c r="D286">
        <f t="shared" ca="1" si="23"/>
        <v>8</v>
      </c>
      <c r="E286">
        <f t="shared" ca="1" si="24"/>
        <v>1173.2</v>
      </c>
    </row>
    <row r="287" spans="1:5" x14ac:dyDescent="0.25">
      <c r="A287" s="2">
        <f t="shared" ca="1" si="20"/>
        <v>45898</v>
      </c>
      <c r="B287" t="str">
        <f t="shared" ca="1" si="21"/>
        <v>Plastic</v>
      </c>
      <c r="C287">
        <f t="shared" ca="1" si="22"/>
        <v>3134</v>
      </c>
      <c r="D287">
        <f t="shared" ca="1" si="23"/>
        <v>0</v>
      </c>
      <c r="E287">
        <f t="shared" ca="1" si="24"/>
        <v>0</v>
      </c>
    </row>
    <row r="288" spans="1:5" x14ac:dyDescent="0.25">
      <c r="A288" s="2">
        <f t="shared" ca="1" si="20"/>
        <v>45815</v>
      </c>
      <c r="B288" t="str">
        <f t="shared" ca="1" si="21"/>
        <v>Steel</v>
      </c>
      <c r="C288">
        <f t="shared" ca="1" si="22"/>
        <v>3649</v>
      </c>
      <c r="D288">
        <f t="shared" ca="1" si="23"/>
        <v>0</v>
      </c>
      <c r="E288">
        <f t="shared" ca="1" si="24"/>
        <v>0</v>
      </c>
    </row>
    <row r="289" spans="1:5" x14ac:dyDescent="0.25">
      <c r="A289" s="2">
        <f t="shared" ca="1" si="20"/>
        <v>45873</v>
      </c>
      <c r="B289" t="str">
        <f t="shared" ca="1" si="21"/>
        <v>Packaging</v>
      </c>
      <c r="C289">
        <f t="shared" ca="1" si="22"/>
        <v>2316</v>
      </c>
      <c r="D289">
        <f t="shared" ca="1" si="23"/>
        <v>3</v>
      </c>
      <c r="E289">
        <f t="shared" ca="1" si="24"/>
        <v>347.40000000000003</v>
      </c>
    </row>
    <row r="290" spans="1:5" x14ac:dyDescent="0.25">
      <c r="A290" s="2">
        <f t="shared" ca="1" si="20"/>
        <v>45808</v>
      </c>
      <c r="B290" t="str">
        <f t="shared" ca="1" si="21"/>
        <v>Steel</v>
      </c>
      <c r="C290">
        <f t="shared" ca="1" si="22"/>
        <v>3997</v>
      </c>
      <c r="D290">
        <f t="shared" ca="1" si="23"/>
        <v>0</v>
      </c>
      <c r="E290">
        <f t="shared" ca="1" si="24"/>
        <v>0</v>
      </c>
    </row>
    <row r="291" spans="1:5" x14ac:dyDescent="0.25">
      <c r="A291" s="2">
        <f t="shared" ca="1" si="20"/>
        <v>45870</v>
      </c>
      <c r="B291" t="str">
        <f t="shared" ca="1" si="21"/>
        <v>Packaging</v>
      </c>
      <c r="C291">
        <f t="shared" ca="1" si="22"/>
        <v>3468</v>
      </c>
      <c r="D291">
        <f t="shared" ca="1" si="23"/>
        <v>0</v>
      </c>
      <c r="E291">
        <f t="shared" ca="1" si="24"/>
        <v>0</v>
      </c>
    </row>
    <row r="292" spans="1:5" x14ac:dyDescent="0.25">
      <c r="A292" s="2">
        <f t="shared" ca="1" si="20"/>
        <v>45921</v>
      </c>
      <c r="B292" t="str">
        <f t="shared" ca="1" si="21"/>
        <v>Packaging</v>
      </c>
      <c r="C292">
        <f t="shared" ca="1" si="22"/>
        <v>1629</v>
      </c>
      <c r="D292">
        <f t="shared" ca="1" si="23"/>
        <v>5</v>
      </c>
      <c r="E292">
        <f t="shared" ca="1" si="24"/>
        <v>407.25</v>
      </c>
    </row>
    <row r="293" spans="1:5" x14ac:dyDescent="0.25">
      <c r="A293" s="2">
        <f t="shared" ca="1" si="20"/>
        <v>45958</v>
      </c>
      <c r="B293" t="str">
        <f t="shared" ca="1" si="21"/>
        <v>Chemicals</v>
      </c>
      <c r="C293">
        <f t="shared" ca="1" si="22"/>
        <v>1856</v>
      </c>
      <c r="D293">
        <f t="shared" ca="1" si="23"/>
        <v>0</v>
      </c>
      <c r="E293">
        <f t="shared" ca="1" si="24"/>
        <v>0</v>
      </c>
    </row>
    <row r="294" spans="1:5" x14ac:dyDescent="0.25">
      <c r="A294" s="2">
        <f t="shared" ca="1" si="20"/>
        <v>45963</v>
      </c>
      <c r="B294" t="str">
        <f t="shared" ca="1" si="21"/>
        <v>Chemicals</v>
      </c>
      <c r="C294">
        <f t="shared" ca="1" si="22"/>
        <v>4285</v>
      </c>
      <c r="D294">
        <f t="shared" ca="1" si="23"/>
        <v>0</v>
      </c>
      <c r="E294">
        <f t="shared" ca="1" si="24"/>
        <v>0</v>
      </c>
    </row>
    <row r="295" spans="1:5" x14ac:dyDescent="0.25">
      <c r="A295" s="2">
        <f t="shared" ca="1" si="20"/>
        <v>45875</v>
      </c>
      <c r="B295" t="str">
        <f t="shared" ca="1" si="21"/>
        <v>Chemicals</v>
      </c>
      <c r="C295">
        <f t="shared" ca="1" si="22"/>
        <v>3256</v>
      </c>
      <c r="D295">
        <f t="shared" ca="1" si="23"/>
        <v>0</v>
      </c>
      <c r="E295">
        <f t="shared" ca="1" si="24"/>
        <v>0</v>
      </c>
    </row>
    <row r="296" spans="1:5" x14ac:dyDescent="0.25">
      <c r="A296" s="2">
        <f t="shared" ca="1" si="20"/>
        <v>45864</v>
      </c>
      <c r="B296" t="str">
        <f t="shared" ca="1" si="21"/>
        <v>Plastic</v>
      </c>
      <c r="C296">
        <f t="shared" ca="1" si="22"/>
        <v>4879</v>
      </c>
      <c r="D296">
        <f t="shared" ca="1" si="23"/>
        <v>2</v>
      </c>
      <c r="E296">
        <f t="shared" ca="1" si="24"/>
        <v>487.90000000000003</v>
      </c>
    </row>
    <row r="297" spans="1:5" x14ac:dyDescent="0.25">
      <c r="A297" s="2">
        <f t="shared" ca="1" si="20"/>
        <v>45820</v>
      </c>
      <c r="B297" t="str">
        <f t="shared" ca="1" si="21"/>
        <v>Plastic</v>
      </c>
      <c r="C297">
        <f t="shared" ca="1" si="22"/>
        <v>2181</v>
      </c>
      <c r="D297">
        <f t="shared" ca="1" si="23"/>
        <v>3</v>
      </c>
      <c r="E297">
        <f t="shared" ca="1" si="24"/>
        <v>327.15000000000003</v>
      </c>
    </row>
    <row r="298" spans="1:5" x14ac:dyDescent="0.25">
      <c r="A298" s="2">
        <f t="shared" ca="1" si="20"/>
        <v>45832</v>
      </c>
      <c r="B298" t="str">
        <f t="shared" ca="1" si="21"/>
        <v>Chemicals</v>
      </c>
      <c r="C298">
        <f t="shared" ca="1" si="22"/>
        <v>2735</v>
      </c>
      <c r="D298">
        <f t="shared" ca="1" si="23"/>
        <v>0</v>
      </c>
      <c r="E298">
        <f t="shared" ca="1" si="24"/>
        <v>0</v>
      </c>
    </row>
    <row r="299" spans="1:5" x14ac:dyDescent="0.25">
      <c r="A299" s="2">
        <f t="shared" ca="1" si="20"/>
        <v>45930</v>
      </c>
      <c r="B299" t="str">
        <f t="shared" ca="1" si="21"/>
        <v>Steel</v>
      </c>
      <c r="C299">
        <f t="shared" ca="1" si="22"/>
        <v>1371</v>
      </c>
      <c r="D299">
        <f t="shared" ca="1" si="23"/>
        <v>9</v>
      </c>
      <c r="E299">
        <f t="shared" ca="1" si="24"/>
        <v>616.95000000000005</v>
      </c>
    </row>
    <row r="300" spans="1:5" x14ac:dyDescent="0.25">
      <c r="A300" s="2">
        <f t="shared" ca="1" si="20"/>
        <v>45904</v>
      </c>
      <c r="B300" t="str">
        <f t="shared" ca="1" si="21"/>
        <v>Plastic</v>
      </c>
      <c r="C300">
        <f t="shared" ca="1" si="22"/>
        <v>3952</v>
      </c>
      <c r="D300">
        <f t="shared" ca="1" si="23"/>
        <v>0</v>
      </c>
      <c r="E300">
        <f t="shared" ca="1" si="24"/>
        <v>0</v>
      </c>
    </row>
    <row r="301" spans="1:5" x14ac:dyDescent="0.25">
      <c r="A301" s="2">
        <f t="shared" ca="1" si="20"/>
        <v>45954</v>
      </c>
      <c r="B301" t="str">
        <f t="shared" ca="1" si="21"/>
        <v>Chemicals</v>
      </c>
      <c r="C301">
        <f t="shared" ca="1" si="22"/>
        <v>2089</v>
      </c>
      <c r="D301">
        <f t="shared" ca="1" si="23"/>
        <v>3</v>
      </c>
      <c r="E301">
        <f t="shared" ca="1" si="24"/>
        <v>313.35000000000002</v>
      </c>
    </row>
    <row r="302" spans="1:5" x14ac:dyDescent="0.25">
      <c r="A302" s="2">
        <f t="shared" ca="1" si="20"/>
        <v>45914</v>
      </c>
      <c r="B302" t="str">
        <f t="shared" ca="1" si="21"/>
        <v>Chemicals</v>
      </c>
      <c r="C302">
        <f t="shared" ca="1" si="22"/>
        <v>4598</v>
      </c>
      <c r="D302">
        <f t="shared" ca="1" si="23"/>
        <v>0</v>
      </c>
      <c r="E302">
        <f t="shared" ca="1" si="24"/>
        <v>0</v>
      </c>
    </row>
    <row r="303" spans="1:5" x14ac:dyDescent="0.25">
      <c r="A303" s="2">
        <f t="shared" ca="1" si="20"/>
        <v>45902</v>
      </c>
      <c r="B303" t="str">
        <f t="shared" ca="1" si="21"/>
        <v>Packaging</v>
      </c>
      <c r="C303">
        <f t="shared" ca="1" si="22"/>
        <v>4000</v>
      </c>
      <c r="D303">
        <f t="shared" ca="1" si="23"/>
        <v>0</v>
      </c>
      <c r="E303">
        <f t="shared" ca="1" si="24"/>
        <v>0</v>
      </c>
    </row>
    <row r="304" spans="1:5" x14ac:dyDescent="0.25">
      <c r="A304" s="2">
        <f t="shared" ca="1" si="20"/>
        <v>45826</v>
      </c>
      <c r="B304" t="str">
        <f t="shared" ca="1" si="21"/>
        <v>Plastic</v>
      </c>
      <c r="C304">
        <f t="shared" ca="1" si="22"/>
        <v>4551</v>
      </c>
      <c r="D304">
        <f t="shared" ca="1" si="23"/>
        <v>7</v>
      </c>
      <c r="E304">
        <f t="shared" ca="1" si="24"/>
        <v>1592.8500000000001</v>
      </c>
    </row>
    <row r="305" spans="1:5" x14ac:dyDescent="0.25">
      <c r="A305" s="2">
        <f t="shared" ca="1" si="20"/>
        <v>45842</v>
      </c>
      <c r="B305" t="str">
        <f t="shared" ca="1" si="21"/>
        <v>Packaging</v>
      </c>
      <c r="C305">
        <f t="shared" ca="1" si="22"/>
        <v>1705</v>
      </c>
      <c r="D305">
        <f t="shared" ca="1" si="23"/>
        <v>10</v>
      </c>
      <c r="E305">
        <f t="shared" ca="1" si="24"/>
        <v>852.5</v>
      </c>
    </row>
    <row r="306" spans="1:5" x14ac:dyDescent="0.25">
      <c r="A306" s="2">
        <f t="shared" ca="1" si="20"/>
        <v>45906</v>
      </c>
      <c r="B306" t="str">
        <f t="shared" ca="1" si="21"/>
        <v>Plastic</v>
      </c>
      <c r="C306">
        <f t="shared" ca="1" si="22"/>
        <v>1091</v>
      </c>
      <c r="D306">
        <f t="shared" ca="1" si="23"/>
        <v>8</v>
      </c>
      <c r="E306">
        <f t="shared" ca="1" si="24"/>
        <v>436.40000000000003</v>
      </c>
    </row>
    <row r="307" spans="1:5" x14ac:dyDescent="0.25">
      <c r="A307" s="2">
        <f t="shared" ca="1" si="20"/>
        <v>45792</v>
      </c>
      <c r="B307" t="str">
        <f t="shared" ca="1" si="21"/>
        <v>Steel</v>
      </c>
      <c r="C307">
        <f t="shared" ca="1" si="22"/>
        <v>1445</v>
      </c>
      <c r="D307">
        <f t="shared" ca="1" si="23"/>
        <v>0</v>
      </c>
      <c r="E307">
        <f t="shared" ca="1" si="24"/>
        <v>0</v>
      </c>
    </row>
    <row r="308" spans="1:5" x14ac:dyDescent="0.25">
      <c r="A308" s="2">
        <f t="shared" ca="1" si="20"/>
        <v>45914</v>
      </c>
      <c r="B308" t="str">
        <f t="shared" ca="1" si="21"/>
        <v>Steel</v>
      </c>
      <c r="C308">
        <f t="shared" ca="1" si="22"/>
        <v>2091</v>
      </c>
      <c r="D308">
        <f t="shared" ca="1" si="23"/>
        <v>0</v>
      </c>
      <c r="E308">
        <f t="shared" ca="1" si="24"/>
        <v>0</v>
      </c>
    </row>
    <row r="309" spans="1:5" x14ac:dyDescent="0.25">
      <c r="A309" s="2">
        <f t="shared" ca="1" si="20"/>
        <v>45866</v>
      </c>
      <c r="B309" t="str">
        <f t="shared" ca="1" si="21"/>
        <v>Steel</v>
      </c>
      <c r="C309">
        <f t="shared" ca="1" si="22"/>
        <v>3389</v>
      </c>
      <c r="D309">
        <f t="shared" ca="1" si="23"/>
        <v>0</v>
      </c>
      <c r="E309">
        <f t="shared" ca="1" si="24"/>
        <v>0</v>
      </c>
    </row>
    <row r="310" spans="1:5" x14ac:dyDescent="0.25">
      <c r="A310" s="2">
        <f t="shared" ca="1" si="20"/>
        <v>45944</v>
      </c>
      <c r="B310" t="str">
        <f t="shared" ca="1" si="21"/>
        <v>Packaging</v>
      </c>
      <c r="C310">
        <f t="shared" ca="1" si="22"/>
        <v>3221</v>
      </c>
      <c r="D310">
        <f t="shared" ca="1" si="23"/>
        <v>5</v>
      </c>
      <c r="E310">
        <f t="shared" ca="1" si="24"/>
        <v>805.25</v>
      </c>
    </row>
    <row r="311" spans="1:5" x14ac:dyDescent="0.25">
      <c r="A311" s="2">
        <f t="shared" ca="1" si="20"/>
        <v>45838</v>
      </c>
      <c r="B311" t="str">
        <f t="shared" ca="1" si="21"/>
        <v>Steel</v>
      </c>
      <c r="C311">
        <f t="shared" ca="1" si="22"/>
        <v>2996</v>
      </c>
      <c r="D311">
        <f t="shared" ca="1" si="23"/>
        <v>6</v>
      </c>
      <c r="E311">
        <f t="shared" ca="1" si="24"/>
        <v>898.80000000000007</v>
      </c>
    </row>
    <row r="312" spans="1:5" x14ac:dyDescent="0.25">
      <c r="A312" s="2">
        <f t="shared" ca="1" si="20"/>
        <v>45870</v>
      </c>
      <c r="B312" t="str">
        <f t="shared" ca="1" si="21"/>
        <v>Steel</v>
      </c>
      <c r="C312">
        <f t="shared" ca="1" si="22"/>
        <v>2846</v>
      </c>
      <c r="D312">
        <f t="shared" ca="1" si="23"/>
        <v>0</v>
      </c>
      <c r="E312">
        <f t="shared" ca="1" si="24"/>
        <v>0</v>
      </c>
    </row>
    <row r="313" spans="1:5" x14ac:dyDescent="0.25">
      <c r="A313" s="2">
        <f t="shared" ca="1" si="20"/>
        <v>45887</v>
      </c>
      <c r="B313" t="str">
        <f t="shared" ca="1" si="21"/>
        <v>Steel</v>
      </c>
      <c r="C313">
        <f t="shared" ca="1" si="22"/>
        <v>4566</v>
      </c>
      <c r="D313">
        <f t="shared" ca="1" si="23"/>
        <v>2</v>
      </c>
      <c r="E313">
        <f t="shared" ca="1" si="24"/>
        <v>456.6</v>
      </c>
    </row>
    <row r="314" spans="1:5" x14ac:dyDescent="0.25">
      <c r="A314" s="2">
        <f t="shared" ca="1" si="20"/>
        <v>45950</v>
      </c>
      <c r="B314" t="str">
        <f t="shared" ca="1" si="21"/>
        <v>Plastic</v>
      </c>
      <c r="C314">
        <f t="shared" ca="1" si="22"/>
        <v>3499</v>
      </c>
      <c r="D314">
        <f t="shared" ca="1" si="23"/>
        <v>0</v>
      </c>
      <c r="E314">
        <f t="shared" ca="1" si="24"/>
        <v>0</v>
      </c>
    </row>
    <row r="315" spans="1:5" x14ac:dyDescent="0.25">
      <c r="A315" s="2">
        <f t="shared" ca="1" si="20"/>
        <v>45934</v>
      </c>
      <c r="B315" t="str">
        <f t="shared" ca="1" si="21"/>
        <v>Packaging</v>
      </c>
      <c r="C315">
        <f t="shared" ca="1" si="22"/>
        <v>3193</v>
      </c>
      <c r="D315">
        <f t="shared" ca="1" si="23"/>
        <v>0</v>
      </c>
      <c r="E315">
        <f t="shared" ca="1" si="24"/>
        <v>0</v>
      </c>
    </row>
    <row r="316" spans="1:5" x14ac:dyDescent="0.25">
      <c r="A316" s="2">
        <f t="shared" ca="1" si="20"/>
        <v>45847</v>
      </c>
      <c r="B316" t="str">
        <f t="shared" ca="1" si="21"/>
        <v>Steel</v>
      </c>
      <c r="C316">
        <f t="shared" ca="1" si="22"/>
        <v>4921</v>
      </c>
      <c r="D316">
        <f t="shared" ca="1" si="23"/>
        <v>3</v>
      </c>
      <c r="E316">
        <f t="shared" ca="1" si="24"/>
        <v>738.15000000000009</v>
      </c>
    </row>
    <row r="317" spans="1:5" x14ac:dyDescent="0.25">
      <c r="A317" s="2">
        <f t="shared" ca="1" si="20"/>
        <v>45786</v>
      </c>
      <c r="B317" t="str">
        <f t="shared" ca="1" si="21"/>
        <v>Plastic</v>
      </c>
      <c r="C317">
        <f t="shared" ca="1" si="22"/>
        <v>4029</v>
      </c>
      <c r="D317">
        <f t="shared" ca="1" si="23"/>
        <v>5</v>
      </c>
      <c r="E317">
        <f t="shared" ca="1" si="24"/>
        <v>1007.25</v>
      </c>
    </row>
    <row r="318" spans="1:5" x14ac:dyDescent="0.25">
      <c r="A318" s="2">
        <f t="shared" ca="1" si="20"/>
        <v>45945</v>
      </c>
      <c r="B318" t="str">
        <f t="shared" ca="1" si="21"/>
        <v>Steel</v>
      </c>
      <c r="C318">
        <f t="shared" ca="1" si="22"/>
        <v>1286</v>
      </c>
      <c r="D318">
        <f t="shared" ca="1" si="23"/>
        <v>0</v>
      </c>
      <c r="E318">
        <f t="shared" ca="1" si="24"/>
        <v>0</v>
      </c>
    </row>
    <row r="319" spans="1:5" x14ac:dyDescent="0.25">
      <c r="A319" s="2">
        <f t="shared" ca="1" si="20"/>
        <v>45821</v>
      </c>
      <c r="B319" t="str">
        <f t="shared" ca="1" si="21"/>
        <v>Plastic</v>
      </c>
      <c r="C319">
        <f t="shared" ca="1" si="22"/>
        <v>3089</v>
      </c>
      <c r="D319">
        <f t="shared" ca="1" si="23"/>
        <v>0</v>
      </c>
      <c r="E319">
        <f t="shared" ca="1" si="24"/>
        <v>0</v>
      </c>
    </row>
    <row r="320" spans="1:5" x14ac:dyDescent="0.25">
      <c r="A320" s="2">
        <f t="shared" ca="1" si="20"/>
        <v>45961</v>
      </c>
      <c r="B320" t="str">
        <f t="shared" ca="1" si="21"/>
        <v>Steel</v>
      </c>
      <c r="C320">
        <f t="shared" ca="1" si="22"/>
        <v>2299</v>
      </c>
      <c r="D320">
        <f t="shared" ca="1" si="23"/>
        <v>8</v>
      </c>
      <c r="E320">
        <f t="shared" ca="1" si="24"/>
        <v>919.6</v>
      </c>
    </row>
    <row r="321" spans="1:5" x14ac:dyDescent="0.25">
      <c r="A321" s="2">
        <f t="shared" ca="1" si="20"/>
        <v>45952</v>
      </c>
      <c r="B321" t="str">
        <f t="shared" ca="1" si="21"/>
        <v>Chemicals</v>
      </c>
      <c r="C321">
        <f t="shared" ca="1" si="22"/>
        <v>2840</v>
      </c>
      <c r="D321">
        <f t="shared" ca="1" si="23"/>
        <v>3</v>
      </c>
      <c r="E321">
        <f t="shared" ca="1" si="24"/>
        <v>426</v>
      </c>
    </row>
    <row r="322" spans="1:5" x14ac:dyDescent="0.25">
      <c r="A322" s="2">
        <f t="shared" ref="A322:A385" ca="1" si="25">TODAY()-RANDBETWEEN(1,180)</f>
        <v>45892</v>
      </c>
      <c r="B322" t="str">
        <f t="shared" ref="B322:B385" ca="1" si="26">CHOOSE(RANDBETWEEN(1,4),"Steel","Plastic","Chemicals","Packaging")</f>
        <v>Packaging</v>
      </c>
      <c r="C322">
        <f t="shared" ref="C322:C385" ca="1" si="27">ROUND(RANDBETWEEN(1000,5000), 0)</f>
        <v>2944</v>
      </c>
      <c r="D322">
        <f t="shared" ref="D322:D385" ca="1" si="28">ROUND(CHOOSE(RANDBETWEEN(1,3), 0, 0, RANDBETWEEN(1,10)),0)</f>
        <v>7</v>
      </c>
      <c r="E322">
        <f t="shared" ref="E322:E385" ca="1" si="29">IF(D322&gt;0,D322*C322*0.05, 0)</f>
        <v>1030.4000000000001</v>
      </c>
    </row>
    <row r="323" spans="1:5" x14ac:dyDescent="0.25">
      <c r="A323" s="2">
        <f t="shared" ca="1" si="25"/>
        <v>45922</v>
      </c>
      <c r="B323" t="str">
        <f t="shared" ca="1" si="26"/>
        <v>Chemicals</v>
      </c>
      <c r="C323">
        <f t="shared" ca="1" si="27"/>
        <v>4743</v>
      </c>
      <c r="D323">
        <f t="shared" ca="1" si="28"/>
        <v>0</v>
      </c>
      <c r="E323">
        <f t="shared" ca="1" si="29"/>
        <v>0</v>
      </c>
    </row>
    <row r="324" spans="1:5" x14ac:dyDescent="0.25">
      <c r="A324" s="2">
        <f t="shared" ca="1" si="25"/>
        <v>45919</v>
      </c>
      <c r="B324" t="str">
        <f t="shared" ca="1" si="26"/>
        <v>Plastic</v>
      </c>
      <c r="C324">
        <f t="shared" ca="1" si="27"/>
        <v>1129</v>
      </c>
      <c r="D324">
        <f t="shared" ca="1" si="28"/>
        <v>0</v>
      </c>
      <c r="E324">
        <f t="shared" ca="1" si="29"/>
        <v>0</v>
      </c>
    </row>
    <row r="325" spans="1:5" x14ac:dyDescent="0.25">
      <c r="A325" s="2">
        <f t="shared" ca="1" si="25"/>
        <v>45817</v>
      </c>
      <c r="B325" t="str">
        <f t="shared" ca="1" si="26"/>
        <v>Steel</v>
      </c>
      <c r="C325">
        <f t="shared" ca="1" si="27"/>
        <v>2902</v>
      </c>
      <c r="D325">
        <f t="shared" ca="1" si="28"/>
        <v>6</v>
      </c>
      <c r="E325">
        <f t="shared" ca="1" si="29"/>
        <v>870.6</v>
      </c>
    </row>
    <row r="326" spans="1:5" x14ac:dyDescent="0.25">
      <c r="A326" s="2">
        <f t="shared" ca="1" si="25"/>
        <v>45814</v>
      </c>
      <c r="B326" t="str">
        <f t="shared" ca="1" si="26"/>
        <v>Packaging</v>
      </c>
      <c r="C326">
        <f t="shared" ca="1" si="27"/>
        <v>3527</v>
      </c>
      <c r="D326">
        <f t="shared" ca="1" si="28"/>
        <v>0</v>
      </c>
      <c r="E326">
        <f t="shared" ca="1" si="29"/>
        <v>0</v>
      </c>
    </row>
    <row r="327" spans="1:5" x14ac:dyDescent="0.25">
      <c r="A327" s="2">
        <f t="shared" ca="1" si="25"/>
        <v>45793</v>
      </c>
      <c r="B327" t="str">
        <f t="shared" ca="1" si="26"/>
        <v>Chemicals</v>
      </c>
      <c r="C327">
        <f t="shared" ca="1" si="27"/>
        <v>3193</v>
      </c>
      <c r="D327">
        <f t="shared" ca="1" si="28"/>
        <v>0</v>
      </c>
      <c r="E327">
        <f t="shared" ca="1" si="29"/>
        <v>0</v>
      </c>
    </row>
    <row r="328" spans="1:5" x14ac:dyDescent="0.25">
      <c r="A328" s="2">
        <f t="shared" ca="1" si="25"/>
        <v>45889</v>
      </c>
      <c r="B328" t="str">
        <f t="shared" ca="1" si="26"/>
        <v>Packaging</v>
      </c>
      <c r="C328">
        <f t="shared" ca="1" si="27"/>
        <v>4113</v>
      </c>
      <c r="D328">
        <f t="shared" ca="1" si="28"/>
        <v>0</v>
      </c>
      <c r="E328">
        <f t="shared" ca="1" si="29"/>
        <v>0</v>
      </c>
    </row>
    <row r="329" spans="1:5" x14ac:dyDescent="0.25">
      <c r="A329" s="2">
        <f t="shared" ca="1" si="25"/>
        <v>45935</v>
      </c>
      <c r="B329" t="str">
        <f t="shared" ca="1" si="26"/>
        <v>Steel</v>
      </c>
      <c r="C329">
        <f t="shared" ca="1" si="27"/>
        <v>3284</v>
      </c>
      <c r="D329">
        <f t="shared" ca="1" si="28"/>
        <v>0</v>
      </c>
      <c r="E329">
        <f t="shared" ca="1" si="29"/>
        <v>0</v>
      </c>
    </row>
    <row r="330" spans="1:5" x14ac:dyDescent="0.25">
      <c r="A330" s="2">
        <f t="shared" ca="1" si="25"/>
        <v>45877</v>
      </c>
      <c r="B330" t="str">
        <f t="shared" ca="1" si="26"/>
        <v>Packaging</v>
      </c>
      <c r="C330">
        <f t="shared" ca="1" si="27"/>
        <v>1092</v>
      </c>
      <c r="D330">
        <f t="shared" ca="1" si="28"/>
        <v>0</v>
      </c>
      <c r="E330">
        <f t="shared" ca="1" si="29"/>
        <v>0</v>
      </c>
    </row>
    <row r="331" spans="1:5" x14ac:dyDescent="0.25">
      <c r="A331" s="2">
        <f t="shared" ca="1" si="25"/>
        <v>45939</v>
      </c>
      <c r="B331" t="str">
        <f t="shared" ca="1" si="26"/>
        <v>Steel</v>
      </c>
      <c r="C331">
        <f t="shared" ca="1" si="27"/>
        <v>1130</v>
      </c>
      <c r="D331">
        <f t="shared" ca="1" si="28"/>
        <v>0</v>
      </c>
      <c r="E331">
        <f t="shared" ca="1" si="29"/>
        <v>0</v>
      </c>
    </row>
    <row r="332" spans="1:5" x14ac:dyDescent="0.25">
      <c r="A332" s="2">
        <f t="shared" ca="1" si="25"/>
        <v>45938</v>
      </c>
      <c r="B332" t="str">
        <f t="shared" ca="1" si="26"/>
        <v>Steel</v>
      </c>
      <c r="C332">
        <f t="shared" ca="1" si="27"/>
        <v>4639</v>
      </c>
      <c r="D332">
        <f t="shared" ca="1" si="28"/>
        <v>7</v>
      </c>
      <c r="E332">
        <f t="shared" ca="1" si="29"/>
        <v>1623.65</v>
      </c>
    </row>
    <row r="333" spans="1:5" x14ac:dyDescent="0.25">
      <c r="A333" s="2">
        <f t="shared" ca="1" si="25"/>
        <v>45836</v>
      </c>
      <c r="B333" t="str">
        <f t="shared" ca="1" si="26"/>
        <v>Plastic</v>
      </c>
      <c r="C333">
        <f t="shared" ca="1" si="27"/>
        <v>1904</v>
      </c>
      <c r="D333">
        <f t="shared" ca="1" si="28"/>
        <v>0</v>
      </c>
      <c r="E333">
        <f t="shared" ca="1" si="29"/>
        <v>0</v>
      </c>
    </row>
    <row r="334" spans="1:5" x14ac:dyDescent="0.25">
      <c r="A334" s="2">
        <f t="shared" ca="1" si="25"/>
        <v>45963</v>
      </c>
      <c r="B334" t="str">
        <f t="shared" ca="1" si="26"/>
        <v>Packaging</v>
      </c>
      <c r="C334">
        <f t="shared" ca="1" si="27"/>
        <v>4956</v>
      </c>
      <c r="D334">
        <f t="shared" ca="1" si="28"/>
        <v>0</v>
      </c>
      <c r="E334">
        <f t="shared" ca="1" si="29"/>
        <v>0</v>
      </c>
    </row>
    <row r="335" spans="1:5" x14ac:dyDescent="0.25">
      <c r="A335" s="2">
        <f t="shared" ca="1" si="25"/>
        <v>45872</v>
      </c>
      <c r="B335" t="str">
        <f t="shared" ca="1" si="26"/>
        <v>Packaging</v>
      </c>
      <c r="C335">
        <f t="shared" ca="1" si="27"/>
        <v>1265</v>
      </c>
      <c r="D335">
        <f t="shared" ca="1" si="28"/>
        <v>0</v>
      </c>
      <c r="E335">
        <f t="shared" ca="1" si="29"/>
        <v>0</v>
      </c>
    </row>
    <row r="336" spans="1:5" x14ac:dyDescent="0.25">
      <c r="A336" s="2">
        <f t="shared" ca="1" si="25"/>
        <v>45795</v>
      </c>
      <c r="B336" t="str">
        <f t="shared" ca="1" si="26"/>
        <v>Steel</v>
      </c>
      <c r="C336">
        <f t="shared" ca="1" si="27"/>
        <v>3453</v>
      </c>
      <c r="D336">
        <f t="shared" ca="1" si="28"/>
        <v>0</v>
      </c>
      <c r="E336">
        <f t="shared" ca="1" si="29"/>
        <v>0</v>
      </c>
    </row>
    <row r="337" spans="1:5" x14ac:dyDescent="0.25">
      <c r="A337" s="2">
        <f t="shared" ca="1" si="25"/>
        <v>45811</v>
      </c>
      <c r="B337" t="str">
        <f t="shared" ca="1" si="26"/>
        <v>Chemicals</v>
      </c>
      <c r="C337">
        <f t="shared" ca="1" si="27"/>
        <v>2508</v>
      </c>
      <c r="D337">
        <f t="shared" ca="1" si="28"/>
        <v>4</v>
      </c>
      <c r="E337">
        <f t="shared" ca="1" si="29"/>
        <v>501.6</v>
      </c>
    </row>
    <row r="338" spans="1:5" x14ac:dyDescent="0.25">
      <c r="A338" s="2">
        <f t="shared" ca="1" si="25"/>
        <v>45792</v>
      </c>
      <c r="B338" t="str">
        <f t="shared" ca="1" si="26"/>
        <v>Chemicals</v>
      </c>
      <c r="C338">
        <f t="shared" ca="1" si="27"/>
        <v>3252</v>
      </c>
      <c r="D338">
        <f t="shared" ca="1" si="28"/>
        <v>3</v>
      </c>
      <c r="E338">
        <f t="shared" ca="1" si="29"/>
        <v>487.8</v>
      </c>
    </row>
    <row r="339" spans="1:5" x14ac:dyDescent="0.25">
      <c r="A339" s="2">
        <f t="shared" ca="1" si="25"/>
        <v>45876</v>
      </c>
      <c r="B339" t="str">
        <f t="shared" ca="1" si="26"/>
        <v>Chemicals</v>
      </c>
      <c r="C339">
        <f t="shared" ca="1" si="27"/>
        <v>4650</v>
      </c>
      <c r="D339">
        <f t="shared" ca="1" si="28"/>
        <v>0</v>
      </c>
      <c r="E339">
        <f t="shared" ca="1" si="29"/>
        <v>0</v>
      </c>
    </row>
    <row r="340" spans="1:5" x14ac:dyDescent="0.25">
      <c r="A340" s="2">
        <f t="shared" ca="1" si="25"/>
        <v>45950</v>
      </c>
      <c r="B340" t="str">
        <f t="shared" ca="1" si="26"/>
        <v>Packaging</v>
      </c>
      <c r="C340">
        <f t="shared" ca="1" si="27"/>
        <v>3424</v>
      </c>
      <c r="D340">
        <f t="shared" ca="1" si="28"/>
        <v>0</v>
      </c>
      <c r="E340">
        <f t="shared" ca="1" si="29"/>
        <v>0</v>
      </c>
    </row>
    <row r="341" spans="1:5" x14ac:dyDescent="0.25">
      <c r="A341" s="2">
        <f t="shared" ca="1" si="25"/>
        <v>45839</v>
      </c>
      <c r="B341" t="str">
        <f t="shared" ca="1" si="26"/>
        <v>Packaging</v>
      </c>
      <c r="C341">
        <f t="shared" ca="1" si="27"/>
        <v>4499</v>
      </c>
      <c r="D341">
        <f t="shared" ca="1" si="28"/>
        <v>7</v>
      </c>
      <c r="E341">
        <f t="shared" ca="1" si="29"/>
        <v>1574.65</v>
      </c>
    </row>
    <row r="342" spans="1:5" x14ac:dyDescent="0.25">
      <c r="A342" s="2">
        <f t="shared" ca="1" si="25"/>
        <v>45889</v>
      </c>
      <c r="B342" t="str">
        <f t="shared" ca="1" si="26"/>
        <v>Packaging</v>
      </c>
      <c r="C342">
        <f t="shared" ca="1" si="27"/>
        <v>3130</v>
      </c>
      <c r="D342">
        <f t="shared" ca="1" si="28"/>
        <v>2</v>
      </c>
      <c r="E342">
        <f t="shared" ca="1" si="29"/>
        <v>313</v>
      </c>
    </row>
    <row r="343" spans="1:5" x14ac:dyDescent="0.25">
      <c r="A343" s="2">
        <f t="shared" ca="1" si="25"/>
        <v>45908</v>
      </c>
      <c r="B343" t="str">
        <f t="shared" ca="1" si="26"/>
        <v>Steel</v>
      </c>
      <c r="C343">
        <f t="shared" ca="1" si="27"/>
        <v>4925</v>
      </c>
      <c r="D343">
        <f t="shared" ca="1" si="28"/>
        <v>0</v>
      </c>
      <c r="E343">
        <f t="shared" ca="1" si="29"/>
        <v>0</v>
      </c>
    </row>
    <row r="344" spans="1:5" x14ac:dyDescent="0.25">
      <c r="A344" s="2">
        <f t="shared" ca="1" si="25"/>
        <v>45839</v>
      </c>
      <c r="B344" t="str">
        <f t="shared" ca="1" si="26"/>
        <v>Chemicals</v>
      </c>
      <c r="C344">
        <f t="shared" ca="1" si="27"/>
        <v>2219</v>
      </c>
      <c r="D344">
        <f t="shared" ca="1" si="28"/>
        <v>0</v>
      </c>
      <c r="E344">
        <f t="shared" ca="1" si="29"/>
        <v>0</v>
      </c>
    </row>
    <row r="345" spans="1:5" x14ac:dyDescent="0.25">
      <c r="A345" s="2">
        <f t="shared" ca="1" si="25"/>
        <v>45963</v>
      </c>
      <c r="B345" t="str">
        <f t="shared" ca="1" si="26"/>
        <v>Chemicals</v>
      </c>
      <c r="C345">
        <f t="shared" ca="1" si="27"/>
        <v>1115</v>
      </c>
      <c r="D345">
        <f t="shared" ca="1" si="28"/>
        <v>0</v>
      </c>
      <c r="E345">
        <f t="shared" ca="1" si="29"/>
        <v>0</v>
      </c>
    </row>
    <row r="346" spans="1:5" x14ac:dyDescent="0.25">
      <c r="A346" s="2">
        <f t="shared" ca="1" si="25"/>
        <v>45914</v>
      </c>
      <c r="B346" t="str">
        <f t="shared" ca="1" si="26"/>
        <v>Packaging</v>
      </c>
      <c r="C346">
        <f t="shared" ca="1" si="27"/>
        <v>2702</v>
      </c>
      <c r="D346">
        <f t="shared" ca="1" si="28"/>
        <v>7</v>
      </c>
      <c r="E346">
        <f t="shared" ca="1" si="29"/>
        <v>945.7</v>
      </c>
    </row>
    <row r="347" spans="1:5" x14ac:dyDescent="0.25">
      <c r="A347" s="2">
        <f t="shared" ca="1" si="25"/>
        <v>45818</v>
      </c>
      <c r="B347" t="str">
        <f t="shared" ca="1" si="26"/>
        <v>Packaging</v>
      </c>
      <c r="C347">
        <f t="shared" ca="1" si="27"/>
        <v>3730</v>
      </c>
      <c r="D347">
        <f t="shared" ca="1" si="28"/>
        <v>0</v>
      </c>
      <c r="E347">
        <f t="shared" ca="1" si="29"/>
        <v>0</v>
      </c>
    </row>
    <row r="348" spans="1:5" x14ac:dyDescent="0.25">
      <c r="A348" s="2">
        <f t="shared" ca="1" si="25"/>
        <v>45880</v>
      </c>
      <c r="B348" t="str">
        <f t="shared" ca="1" si="26"/>
        <v>Packaging</v>
      </c>
      <c r="C348">
        <f t="shared" ca="1" si="27"/>
        <v>4176</v>
      </c>
      <c r="D348">
        <f t="shared" ca="1" si="28"/>
        <v>0</v>
      </c>
      <c r="E348">
        <f t="shared" ca="1" si="29"/>
        <v>0</v>
      </c>
    </row>
    <row r="349" spans="1:5" x14ac:dyDescent="0.25">
      <c r="A349" s="2">
        <f t="shared" ca="1" si="25"/>
        <v>45806</v>
      </c>
      <c r="B349" t="str">
        <f t="shared" ca="1" si="26"/>
        <v>Steel</v>
      </c>
      <c r="C349">
        <f t="shared" ca="1" si="27"/>
        <v>2693</v>
      </c>
      <c r="D349">
        <f t="shared" ca="1" si="28"/>
        <v>0</v>
      </c>
      <c r="E349">
        <f t="shared" ca="1" si="29"/>
        <v>0</v>
      </c>
    </row>
    <row r="350" spans="1:5" x14ac:dyDescent="0.25">
      <c r="A350" s="2">
        <f t="shared" ca="1" si="25"/>
        <v>45827</v>
      </c>
      <c r="B350" t="str">
        <f t="shared" ca="1" si="26"/>
        <v>Packaging</v>
      </c>
      <c r="C350">
        <f t="shared" ca="1" si="27"/>
        <v>2765</v>
      </c>
      <c r="D350">
        <f t="shared" ca="1" si="28"/>
        <v>10</v>
      </c>
      <c r="E350">
        <f t="shared" ca="1" si="29"/>
        <v>1382.5</v>
      </c>
    </row>
    <row r="351" spans="1:5" x14ac:dyDescent="0.25">
      <c r="A351" s="2">
        <f t="shared" ca="1" si="25"/>
        <v>45950</v>
      </c>
      <c r="B351" t="str">
        <f t="shared" ca="1" si="26"/>
        <v>Plastic</v>
      </c>
      <c r="C351">
        <f t="shared" ca="1" si="27"/>
        <v>1760</v>
      </c>
      <c r="D351">
        <f t="shared" ca="1" si="28"/>
        <v>0</v>
      </c>
      <c r="E351">
        <f t="shared" ca="1" si="29"/>
        <v>0</v>
      </c>
    </row>
    <row r="352" spans="1:5" x14ac:dyDescent="0.25">
      <c r="A352" s="2">
        <f t="shared" ca="1" si="25"/>
        <v>45948</v>
      </c>
      <c r="B352" t="str">
        <f t="shared" ca="1" si="26"/>
        <v>Steel</v>
      </c>
      <c r="C352">
        <f t="shared" ca="1" si="27"/>
        <v>1804</v>
      </c>
      <c r="D352">
        <f t="shared" ca="1" si="28"/>
        <v>1</v>
      </c>
      <c r="E352">
        <f t="shared" ca="1" si="29"/>
        <v>90.2</v>
      </c>
    </row>
    <row r="353" spans="1:5" x14ac:dyDescent="0.25">
      <c r="A353" s="2">
        <f t="shared" ca="1" si="25"/>
        <v>45850</v>
      </c>
      <c r="B353" t="str">
        <f t="shared" ca="1" si="26"/>
        <v>Steel</v>
      </c>
      <c r="C353">
        <f t="shared" ca="1" si="27"/>
        <v>1447</v>
      </c>
      <c r="D353">
        <f t="shared" ca="1" si="28"/>
        <v>0</v>
      </c>
      <c r="E353">
        <f t="shared" ca="1" si="29"/>
        <v>0</v>
      </c>
    </row>
    <row r="354" spans="1:5" x14ac:dyDescent="0.25">
      <c r="A354" s="2">
        <f t="shared" ca="1" si="25"/>
        <v>45960</v>
      </c>
      <c r="B354" t="str">
        <f t="shared" ca="1" si="26"/>
        <v>Steel</v>
      </c>
      <c r="C354">
        <f t="shared" ca="1" si="27"/>
        <v>1172</v>
      </c>
      <c r="D354">
        <f t="shared" ca="1" si="28"/>
        <v>5</v>
      </c>
      <c r="E354">
        <f t="shared" ca="1" si="29"/>
        <v>293</v>
      </c>
    </row>
    <row r="355" spans="1:5" x14ac:dyDescent="0.25">
      <c r="A355" s="2">
        <f t="shared" ca="1" si="25"/>
        <v>45855</v>
      </c>
      <c r="B355" t="str">
        <f t="shared" ca="1" si="26"/>
        <v>Chemicals</v>
      </c>
      <c r="C355">
        <f t="shared" ca="1" si="27"/>
        <v>2467</v>
      </c>
      <c r="D355">
        <f t="shared" ca="1" si="28"/>
        <v>0</v>
      </c>
      <c r="E355">
        <f t="shared" ca="1" si="29"/>
        <v>0</v>
      </c>
    </row>
    <row r="356" spans="1:5" x14ac:dyDescent="0.25">
      <c r="A356" s="2">
        <f t="shared" ca="1" si="25"/>
        <v>45821</v>
      </c>
      <c r="B356" t="str">
        <f t="shared" ca="1" si="26"/>
        <v>Chemicals</v>
      </c>
      <c r="C356">
        <f t="shared" ca="1" si="27"/>
        <v>2223</v>
      </c>
      <c r="D356">
        <f t="shared" ca="1" si="28"/>
        <v>0</v>
      </c>
      <c r="E356">
        <f t="shared" ca="1" si="29"/>
        <v>0</v>
      </c>
    </row>
    <row r="357" spans="1:5" x14ac:dyDescent="0.25">
      <c r="A357" s="2">
        <f t="shared" ca="1" si="25"/>
        <v>45791</v>
      </c>
      <c r="B357" t="str">
        <f t="shared" ca="1" si="26"/>
        <v>Steel</v>
      </c>
      <c r="C357">
        <f t="shared" ca="1" si="27"/>
        <v>3789</v>
      </c>
      <c r="D357">
        <f t="shared" ca="1" si="28"/>
        <v>0</v>
      </c>
      <c r="E357">
        <f t="shared" ca="1" si="29"/>
        <v>0</v>
      </c>
    </row>
    <row r="358" spans="1:5" x14ac:dyDescent="0.25">
      <c r="A358" s="2">
        <f t="shared" ca="1" si="25"/>
        <v>45841</v>
      </c>
      <c r="B358" t="str">
        <f t="shared" ca="1" si="26"/>
        <v>Chemicals</v>
      </c>
      <c r="C358">
        <f t="shared" ca="1" si="27"/>
        <v>2882</v>
      </c>
      <c r="D358">
        <f t="shared" ca="1" si="28"/>
        <v>0</v>
      </c>
      <c r="E358">
        <f t="shared" ca="1" si="29"/>
        <v>0</v>
      </c>
    </row>
    <row r="359" spans="1:5" x14ac:dyDescent="0.25">
      <c r="A359" s="2">
        <f t="shared" ca="1" si="25"/>
        <v>45835</v>
      </c>
      <c r="B359" t="str">
        <f t="shared" ca="1" si="26"/>
        <v>Packaging</v>
      </c>
      <c r="C359">
        <f t="shared" ca="1" si="27"/>
        <v>1918</v>
      </c>
      <c r="D359">
        <f t="shared" ca="1" si="28"/>
        <v>0</v>
      </c>
      <c r="E359">
        <f t="shared" ca="1" si="29"/>
        <v>0</v>
      </c>
    </row>
    <row r="360" spans="1:5" x14ac:dyDescent="0.25">
      <c r="A360" s="2">
        <f t="shared" ca="1" si="25"/>
        <v>45787</v>
      </c>
      <c r="B360" t="str">
        <f t="shared" ca="1" si="26"/>
        <v>Steel</v>
      </c>
      <c r="C360">
        <f t="shared" ca="1" si="27"/>
        <v>4582</v>
      </c>
      <c r="D360">
        <f t="shared" ca="1" si="28"/>
        <v>0</v>
      </c>
      <c r="E360">
        <f t="shared" ca="1" si="29"/>
        <v>0</v>
      </c>
    </row>
    <row r="361" spans="1:5" x14ac:dyDescent="0.25">
      <c r="A361" s="2">
        <f t="shared" ca="1" si="25"/>
        <v>45855</v>
      </c>
      <c r="B361" t="str">
        <f t="shared" ca="1" si="26"/>
        <v>Chemicals</v>
      </c>
      <c r="C361">
        <f t="shared" ca="1" si="27"/>
        <v>4631</v>
      </c>
      <c r="D361">
        <f t="shared" ca="1" si="28"/>
        <v>0</v>
      </c>
      <c r="E361">
        <f t="shared" ca="1" si="29"/>
        <v>0</v>
      </c>
    </row>
    <row r="362" spans="1:5" x14ac:dyDescent="0.25">
      <c r="A362" s="2">
        <f t="shared" ca="1" si="25"/>
        <v>45935</v>
      </c>
      <c r="B362" t="str">
        <f t="shared" ca="1" si="26"/>
        <v>Chemicals</v>
      </c>
      <c r="C362">
        <f t="shared" ca="1" si="27"/>
        <v>3641</v>
      </c>
      <c r="D362">
        <f t="shared" ca="1" si="28"/>
        <v>0</v>
      </c>
      <c r="E362">
        <f t="shared" ca="1" si="29"/>
        <v>0</v>
      </c>
    </row>
    <row r="363" spans="1:5" x14ac:dyDescent="0.25">
      <c r="A363" s="2">
        <f t="shared" ca="1" si="25"/>
        <v>45960</v>
      </c>
      <c r="B363" t="str">
        <f t="shared" ca="1" si="26"/>
        <v>Chemicals</v>
      </c>
      <c r="C363">
        <f t="shared" ca="1" si="27"/>
        <v>4644</v>
      </c>
      <c r="D363">
        <f t="shared" ca="1" si="28"/>
        <v>2</v>
      </c>
      <c r="E363">
        <f t="shared" ca="1" si="29"/>
        <v>464.40000000000003</v>
      </c>
    </row>
    <row r="364" spans="1:5" x14ac:dyDescent="0.25">
      <c r="A364" s="2">
        <f t="shared" ca="1" si="25"/>
        <v>45805</v>
      </c>
      <c r="B364" t="str">
        <f t="shared" ca="1" si="26"/>
        <v>Steel</v>
      </c>
      <c r="C364">
        <f t="shared" ca="1" si="27"/>
        <v>3803</v>
      </c>
      <c r="D364">
        <f t="shared" ca="1" si="28"/>
        <v>1</v>
      </c>
      <c r="E364">
        <f t="shared" ca="1" si="29"/>
        <v>190.15</v>
      </c>
    </row>
    <row r="365" spans="1:5" x14ac:dyDescent="0.25">
      <c r="A365" s="2">
        <f t="shared" ca="1" si="25"/>
        <v>45952</v>
      </c>
      <c r="B365" t="str">
        <f t="shared" ca="1" si="26"/>
        <v>Plastic</v>
      </c>
      <c r="C365">
        <f t="shared" ca="1" si="27"/>
        <v>1082</v>
      </c>
      <c r="D365">
        <f t="shared" ca="1" si="28"/>
        <v>0</v>
      </c>
      <c r="E365">
        <f t="shared" ca="1" si="29"/>
        <v>0</v>
      </c>
    </row>
    <row r="366" spans="1:5" x14ac:dyDescent="0.25">
      <c r="A366" s="2">
        <f t="shared" ca="1" si="25"/>
        <v>45824</v>
      </c>
      <c r="B366" t="str">
        <f t="shared" ca="1" si="26"/>
        <v>Packaging</v>
      </c>
      <c r="C366">
        <f t="shared" ca="1" si="27"/>
        <v>4118</v>
      </c>
      <c r="D366">
        <f t="shared" ca="1" si="28"/>
        <v>0</v>
      </c>
      <c r="E366">
        <f t="shared" ca="1" si="29"/>
        <v>0</v>
      </c>
    </row>
    <row r="367" spans="1:5" x14ac:dyDescent="0.25">
      <c r="A367" s="2">
        <f t="shared" ca="1" si="25"/>
        <v>45934</v>
      </c>
      <c r="B367" t="str">
        <f t="shared" ca="1" si="26"/>
        <v>Chemicals</v>
      </c>
      <c r="C367">
        <f t="shared" ca="1" si="27"/>
        <v>3883</v>
      </c>
      <c r="D367">
        <f t="shared" ca="1" si="28"/>
        <v>1</v>
      </c>
      <c r="E367">
        <f t="shared" ca="1" si="29"/>
        <v>194.15</v>
      </c>
    </row>
    <row r="368" spans="1:5" x14ac:dyDescent="0.25">
      <c r="A368" s="2">
        <f t="shared" ca="1" si="25"/>
        <v>45836</v>
      </c>
      <c r="B368" t="str">
        <f t="shared" ca="1" si="26"/>
        <v>Plastic</v>
      </c>
      <c r="C368">
        <f t="shared" ca="1" si="27"/>
        <v>3405</v>
      </c>
      <c r="D368">
        <f t="shared" ca="1" si="28"/>
        <v>8</v>
      </c>
      <c r="E368">
        <f t="shared" ca="1" si="29"/>
        <v>1362</v>
      </c>
    </row>
    <row r="369" spans="1:5" x14ac:dyDescent="0.25">
      <c r="A369" s="2">
        <f t="shared" ca="1" si="25"/>
        <v>45859</v>
      </c>
      <c r="B369" t="str">
        <f t="shared" ca="1" si="26"/>
        <v>Plastic</v>
      </c>
      <c r="C369">
        <f t="shared" ca="1" si="27"/>
        <v>4437</v>
      </c>
      <c r="D369">
        <f t="shared" ca="1" si="28"/>
        <v>0</v>
      </c>
      <c r="E369">
        <f t="shared" ca="1" si="29"/>
        <v>0</v>
      </c>
    </row>
    <row r="370" spans="1:5" x14ac:dyDescent="0.25">
      <c r="A370" s="2">
        <f t="shared" ca="1" si="25"/>
        <v>45804</v>
      </c>
      <c r="B370" t="str">
        <f t="shared" ca="1" si="26"/>
        <v>Plastic</v>
      </c>
      <c r="C370">
        <f t="shared" ca="1" si="27"/>
        <v>1827</v>
      </c>
      <c r="D370">
        <f t="shared" ca="1" si="28"/>
        <v>0</v>
      </c>
      <c r="E370">
        <f t="shared" ca="1" si="29"/>
        <v>0</v>
      </c>
    </row>
    <row r="371" spans="1:5" x14ac:dyDescent="0.25">
      <c r="A371" s="2">
        <f t="shared" ca="1" si="25"/>
        <v>45816</v>
      </c>
      <c r="B371" t="str">
        <f t="shared" ca="1" si="26"/>
        <v>Chemicals</v>
      </c>
      <c r="C371">
        <f t="shared" ca="1" si="27"/>
        <v>1289</v>
      </c>
      <c r="D371">
        <f t="shared" ca="1" si="28"/>
        <v>0</v>
      </c>
      <c r="E371">
        <f t="shared" ca="1" si="29"/>
        <v>0</v>
      </c>
    </row>
    <row r="372" spans="1:5" x14ac:dyDescent="0.25">
      <c r="A372" s="2">
        <f t="shared" ca="1" si="25"/>
        <v>45832</v>
      </c>
      <c r="B372" t="str">
        <f t="shared" ca="1" si="26"/>
        <v>Chemicals</v>
      </c>
      <c r="C372">
        <f t="shared" ca="1" si="27"/>
        <v>2768</v>
      </c>
      <c r="D372">
        <f t="shared" ca="1" si="28"/>
        <v>7</v>
      </c>
      <c r="E372">
        <f t="shared" ca="1" si="29"/>
        <v>968.80000000000007</v>
      </c>
    </row>
    <row r="373" spans="1:5" x14ac:dyDescent="0.25">
      <c r="A373" s="2">
        <f t="shared" ca="1" si="25"/>
        <v>45864</v>
      </c>
      <c r="B373" t="str">
        <f t="shared" ca="1" si="26"/>
        <v>Chemicals</v>
      </c>
      <c r="C373">
        <f t="shared" ca="1" si="27"/>
        <v>4817</v>
      </c>
      <c r="D373">
        <f t="shared" ca="1" si="28"/>
        <v>0</v>
      </c>
      <c r="E373">
        <f t="shared" ca="1" si="29"/>
        <v>0</v>
      </c>
    </row>
    <row r="374" spans="1:5" x14ac:dyDescent="0.25">
      <c r="A374" s="2">
        <f t="shared" ca="1" si="25"/>
        <v>45790</v>
      </c>
      <c r="B374" t="str">
        <f t="shared" ca="1" si="26"/>
        <v>Chemicals</v>
      </c>
      <c r="C374">
        <f t="shared" ca="1" si="27"/>
        <v>2189</v>
      </c>
      <c r="D374">
        <f t="shared" ca="1" si="28"/>
        <v>0</v>
      </c>
      <c r="E374">
        <f t="shared" ca="1" si="29"/>
        <v>0</v>
      </c>
    </row>
    <row r="375" spans="1:5" x14ac:dyDescent="0.25">
      <c r="A375" s="2">
        <f t="shared" ca="1" si="25"/>
        <v>45955</v>
      </c>
      <c r="B375" t="str">
        <f t="shared" ca="1" si="26"/>
        <v>Packaging</v>
      </c>
      <c r="C375">
        <f t="shared" ca="1" si="27"/>
        <v>3940</v>
      </c>
      <c r="D375">
        <f t="shared" ca="1" si="28"/>
        <v>4</v>
      </c>
      <c r="E375">
        <f t="shared" ca="1" si="29"/>
        <v>788</v>
      </c>
    </row>
    <row r="376" spans="1:5" x14ac:dyDescent="0.25">
      <c r="A376" s="2">
        <f t="shared" ca="1" si="25"/>
        <v>45803</v>
      </c>
      <c r="B376" t="str">
        <f t="shared" ca="1" si="26"/>
        <v>Chemicals</v>
      </c>
      <c r="C376">
        <f t="shared" ca="1" si="27"/>
        <v>3758</v>
      </c>
      <c r="D376">
        <f t="shared" ca="1" si="28"/>
        <v>0</v>
      </c>
      <c r="E376">
        <f t="shared" ca="1" si="29"/>
        <v>0</v>
      </c>
    </row>
    <row r="377" spans="1:5" x14ac:dyDescent="0.25">
      <c r="A377" s="2">
        <f t="shared" ca="1" si="25"/>
        <v>45933</v>
      </c>
      <c r="B377" t="str">
        <f t="shared" ca="1" si="26"/>
        <v>Plastic</v>
      </c>
      <c r="C377">
        <f t="shared" ca="1" si="27"/>
        <v>3013</v>
      </c>
      <c r="D377">
        <f t="shared" ca="1" si="28"/>
        <v>0</v>
      </c>
      <c r="E377">
        <f t="shared" ca="1" si="29"/>
        <v>0</v>
      </c>
    </row>
    <row r="378" spans="1:5" x14ac:dyDescent="0.25">
      <c r="A378" s="2">
        <f t="shared" ca="1" si="25"/>
        <v>45907</v>
      </c>
      <c r="B378" t="str">
        <f t="shared" ca="1" si="26"/>
        <v>Steel</v>
      </c>
      <c r="C378">
        <f t="shared" ca="1" si="27"/>
        <v>1017</v>
      </c>
      <c r="D378">
        <f t="shared" ca="1" si="28"/>
        <v>0</v>
      </c>
      <c r="E378">
        <f t="shared" ca="1" si="29"/>
        <v>0</v>
      </c>
    </row>
    <row r="379" spans="1:5" x14ac:dyDescent="0.25">
      <c r="A379" s="2">
        <f t="shared" ca="1" si="25"/>
        <v>45916</v>
      </c>
      <c r="B379" t="str">
        <f t="shared" ca="1" si="26"/>
        <v>Plastic</v>
      </c>
      <c r="C379">
        <f t="shared" ca="1" si="27"/>
        <v>4741</v>
      </c>
      <c r="D379">
        <f t="shared" ca="1" si="28"/>
        <v>0</v>
      </c>
      <c r="E379">
        <f t="shared" ca="1" si="29"/>
        <v>0</v>
      </c>
    </row>
    <row r="380" spans="1:5" x14ac:dyDescent="0.25">
      <c r="A380" s="2">
        <f t="shared" ca="1" si="25"/>
        <v>45851</v>
      </c>
      <c r="B380" t="str">
        <f t="shared" ca="1" si="26"/>
        <v>Plastic</v>
      </c>
      <c r="C380">
        <f t="shared" ca="1" si="27"/>
        <v>1605</v>
      </c>
      <c r="D380">
        <f t="shared" ca="1" si="28"/>
        <v>0</v>
      </c>
      <c r="E380">
        <f t="shared" ca="1" si="29"/>
        <v>0</v>
      </c>
    </row>
    <row r="381" spans="1:5" x14ac:dyDescent="0.25">
      <c r="A381" s="2">
        <f t="shared" ca="1" si="25"/>
        <v>45954</v>
      </c>
      <c r="B381" t="str">
        <f t="shared" ca="1" si="26"/>
        <v>Plastic</v>
      </c>
      <c r="C381">
        <f t="shared" ca="1" si="27"/>
        <v>2267</v>
      </c>
      <c r="D381">
        <f t="shared" ca="1" si="28"/>
        <v>0</v>
      </c>
      <c r="E381">
        <f t="shared" ca="1" si="29"/>
        <v>0</v>
      </c>
    </row>
    <row r="382" spans="1:5" x14ac:dyDescent="0.25">
      <c r="A382" s="2">
        <f t="shared" ca="1" si="25"/>
        <v>45921</v>
      </c>
      <c r="B382" t="str">
        <f t="shared" ca="1" si="26"/>
        <v>Packaging</v>
      </c>
      <c r="C382">
        <f t="shared" ca="1" si="27"/>
        <v>2964</v>
      </c>
      <c r="D382">
        <f t="shared" ca="1" si="28"/>
        <v>0</v>
      </c>
      <c r="E382">
        <f t="shared" ca="1" si="29"/>
        <v>0</v>
      </c>
    </row>
    <row r="383" spans="1:5" x14ac:dyDescent="0.25">
      <c r="A383" s="2">
        <f t="shared" ca="1" si="25"/>
        <v>45798</v>
      </c>
      <c r="B383" t="str">
        <f t="shared" ca="1" si="26"/>
        <v>Packaging</v>
      </c>
      <c r="C383">
        <f t="shared" ca="1" si="27"/>
        <v>4333</v>
      </c>
      <c r="D383">
        <f t="shared" ca="1" si="28"/>
        <v>0</v>
      </c>
      <c r="E383">
        <f t="shared" ca="1" si="29"/>
        <v>0</v>
      </c>
    </row>
    <row r="384" spans="1:5" x14ac:dyDescent="0.25">
      <c r="A384" s="2">
        <f t="shared" ca="1" si="25"/>
        <v>45962</v>
      </c>
      <c r="B384" t="str">
        <f t="shared" ca="1" si="26"/>
        <v>Plastic</v>
      </c>
      <c r="C384">
        <f t="shared" ca="1" si="27"/>
        <v>2221</v>
      </c>
      <c r="D384">
        <f t="shared" ca="1" si="28"/>
        <v>9</v>
      </c>
      <c r="E384">
        <f t="shared" ca="1" si="29"/>
        <v>999.45</v>
      </c>
    </row>
    <row r="385" spans="1:5" x14ac:dyDescent="0.25">
      <c r="A385" s="2">
        <f t="shared" ca="1" si="25"/>
        <v>45886</v>
      </c>
      <c r="B385" t="str">
        <f t="shared" ca="1" si="26"/>
        <v>Packaging</v>
      </c>
      <c r="C385">
        <f t="shared" ca="1" si="27"/>
        <v>1374</v>
      </c>
      <c r="D385">
        <f t="shared" ca="1" si="28"/>
        <v>9</v>
      </c>
      <c r="E385">
        <f t="shared" ca="1" si="29"/>
        <v>618.30000000000007</v>
      </c>
    </row>
    <row r="386" spans="1:5" x14ac:dyDescent="0.25">
      <c r="A386" s="2">
        <f t="shared" ref="A386:A449" ca="1" si="30">TODAY()-RANDBETWEEN(1,180)</f>
        <v>45900</v>
      </c>
      <c r="B386" t="str">
        <f t="shared" ref="B386:B449" ca="1" si="31">CHOOSE(RANDBETWEEN(1,4),"Steel","Plastic","Chemicals","Packaging")</f>
        <v>Steel</v>
      </c>
      <c r="C386">
        <f t="shared" ref="C386:C449" ca="1" si="32">ROUND(RANDBETWEEN(1000,5000), 0)</f>
        <v>4083</v>
      </c>
      <c r="D386">
        <f t="shared" ref="D386:D449" ca="1" si="33">ROUND(CHOOSE(RANDBETWEEN(1,3), 0, 0, RANDBETWEEN(1,10)),0)</f>
        <v>0</v>
      </c>
      <c r="E386">
        <f t="shared" ref="E386:E449" ca="1" si="34">IF(D386&gt;0,D386*C386*0.05, 0)</f>
        <v>0</v>
      </c>
    </row>
    <row r="387" spans="1:5" x14ac:dyDescent="0.25">
      <c r="A387" s="2">
        <f t="shared" ca="1" si="30"/>
        <v>45927</v>
      </c>
      <c r="B387" t="str">
        <f t="shared" ca="1" si="31"/>
        <v>Plastic</v>
      </c>
      <c r="C387">
        <f t="shared" ca="1" si="32"/>
        <v>3512</v>
      </c>
      <c r="D387">
        <f t="shared" ca="1" si="33"/>
        <v>0</v>
      </c>
      <c r="E387">
        <f t="shared" ca="1" si="34"/>
        <v>0</v>
      </c>
    </row>
    <row r="388" spans="1:5" x14ac:dyDescent="0.25">
      <c r="A388" s="2">
        <f t="shared" ca="1" si="30"/>
        <v>45888</v>
      </c>
      <c r="B388" t="str">
        <f t="shared" ca="1" si="31"/>
        <v>Steel</v>
      </c>
      <c r="C388">
        <f t="shared" ca="1" si="32"/>
        <v>2728</v>
      </c>
      <c r="D388">
        <f t="shared" ca="1" si="33"/>
        <v>0</v>
      </c>
      <c r="E388">
        <f t="shared" ca="1" si="34"/>
        <v>0</v>
      </c>
    </row>
    <row r="389" spans="1:5" x14ac:dyDescent="0.25">
      <c r="A389" s="2">
        <f t="shared" ca="1" si="30"/>
        <v>45849</v>
      </c>
      <c r="B389" t="str">
        <f t="shared" ca="1" si="31"/>
        <v>Steel</v>
      </c>
      <c r="C389">
        <f t="shared" ca="1" si="32"/>
        <v>1397</v>
      </c>
      <c r="D389">
        <f t="shared" ca="1" si="33"/>
        <v>10</v>
      </c>
      <c r="E389">
        <f t="shared" ca="1" si="34"/>
        <v>698.5</v>
      </c>
    </row>
    <row r="390" spans="1:5" x14ac:dyDescent="0.25">
      <c r="A390" s="2">
        <f t="shared" ca="1" si="30"/>
        <v>45904</v>
      </c>
      <c r="B390" t="str">
        <f t="shared" ca="1" si="31"/>
        <v>Steel</v>
      </c>
      <c r="C390">
        <f t="shared" ca="1" si="32"/>
        <v>3798</v>
      </c>
      <c r="D390">
        <f t="shared" ca="1" si="33"/>
        <v>10</v>
      </c>
      <c r="E390">
        <f t="shared" ca="1" si="34"/>
        <v>1899</v>
      </c>
    </row>
    <row r="391" spans="1:5" x14ac:dyDescent="0.25">
      <c r="A391" s="2">
        <f t="shared" ca="1" si="30"/>
        <v>45934</v>
      </c>
      <c r="B391" t="str">
        <f t="shared" ca="1" si="31"/>
        <v>Packaging</v>
      </c>
      <c r="C391">
        <f t="shared" ca="1" si="32"/>
        <v>4085</v>
      </c>
      <c r="D391">
        <f t="shared" ca="1" si="33"/>
        <v>0</v>
      </c>
      <c r="E391">
        <f t="shared" ca="1" si="34"/>
        <v>0</v>
      </c>
    </row>
    <row r="392" spans="1:5" x14ac:dyDescent="0.25">
      <c r="A392" s="2">
        <f t="shared" ca="1" si="30"/>
        <v>45888</v>
      </c>
      <c r="B392" t="str">
        <f t="shared" ca="1" si="31"/>
        <v>Plastic</v>
      </c>
      <c r="C392">
        <f t="shared" ca="1" si="32"/>
        <v>2308</v>
      </c>
      <c r="D392">
        <f t="shared" ca="1" si="33"/>
        <v>4</v>
      </c>
      <c r="E392">
        <f t="shared" ca="1" si="34"/>
        <v>461.6</v>
      </c>
    </row>
    <row r="393" spans="1:5" x14ac:dyDescent="0.25">
      <c r="A393" s="2">
        <f t="shared" ca="1" si="30"/>
        <v>45877</v>
      </c>
      <c r="B393" t="str">
        <f t="shared" ca="1" si="31"/>
        <v>Plastic</v>
      </c>
      <c r="C393">
        <f t="shared" ca="1" si="32"/>
        <v>1389</v>
      </c>
      <c r="D393">
        <f t="shared" ca="1" si="33"/>
        <v>4</v>
      </c>
      <c r="E393">
        <f t="shared" ca="1" si="34"/>
        <v>277.8</v>
      </c>
    </row>
    <row r="394" spans="1:5" x14ac:dyDescent="0.25">
      <c r="A394" s="2">
        <f t="shared" ca="1" si="30"/>
        <v>45786</v>
      </c>
      <c r="B394" t="str">
        <f t="shared" ca="1" si="31"/>
        <v>Plastic</v>
      </c>
      <c r="C394">
        <f t="shared" ca="1" si="32"/>
        <v>4660</v>
      </c>
      <c r="D394">
        <f t="shared" ca="1" si="33"/>
        <v>0</v>
      </c>
      <c r="E394">
        <f t="shared" ca="1" si="34"/>
        <v>0</v>
      </c>
    </row>
    <row r="395" spans="1:5" x14ac:dyDescent="0.25">
      <c r="A395" s="2">
        <f t="shared" ca="1" si="30"/>
        <v>45836</v>
      </c>
      <c r="B395" t="str">
        <f t="shared" ca="1" si="31"/>
        <v>Chemicals</v>
      </c>
      <c r="C395">
        <f t="shared" ca="1" si="32"/>
        <v>4853</v>
      </c>
      <c r="D395">
        <f t="shared" ca="1" si="33"/>
        <v>0</v>
      </c>
      <c r="E395">
        <f t="shared" ca="1" si="34"/>
        <v>0</v>
      </c>
    </row>
    <row r="396" spans="1:5" x14ac:dyDescent="0.25">
      <c r="A396" s="2">
        <f t="shared" ca="1" si="30"/>
        <v>45947</v>
      </c>
      <c r="B396" t="str">
        <f t="shared" ca="1" si="31"/>
        <v>Plastic</v>
      </c>
      <c r="C396">
        <f t="shared" ca="1" si="32"/>
        <v>2263</v>
      </c>
      <c r="D396">
        <f t="shared" ca="1" si="33"/>
        <v>0</v>
      </c>
      <c r="E396">
        <f t="shared" ca="1" si="34"/>
        <v>0</v>
      </c>
    </row>
    <row r="397" spans="1:5" x14ac:dyDescent="0.25">
      <c r="A397" s="2">
        <f t="shared" ca="1" si="30"/>
        <v>45815</v>
      </c>
      <c r="B397" t="str">
        <f t="shared" ca="1" si="31"/>
        <v>Plastic</v>
      </c>
      <c r="C397">
        <f t="shared" ca="1" si="32"/>
        <v>2196</v>
      </c>
      <c r="D397">
        <f t="shared" ca="1" si="33"/>
        <v>0</v>
      </c>
      <c r="E397">
        <f t="shared" ca="1" si="34"/>
        <v>0</v>
      </c>
    </row>
    <row r="398" spans="1:5" x14ac:dyDescent="0.25">
      <c r="A398" s="2">
        <f t="shared" ca="1" si="30"/>
        <v>45869</v>
      </c>
      <c r="B398" t="str">
        <f t="shared" ca="1" si="31"/>
        <v>Packaging</v>
      </c>
      <c r="C398">
        <f t="shared" ca="1" si="32"/>
        <v>1075</v>
      </c>
      <c r="D398">
        <f t="shared" ca="1" si="33"/>
        <v>0</v>
      </c>
      <c r="E398">
        <f t="shared" ca="1" si="34"/>
        <v>0</v>
      </c>
    </row>
    <row r="399" spans="1:5" x14ac:dyDescent="0.25">
      <c r="A399" s="2">
        <f t="shared" ca="1" si="30"/>
        <v>45840</v>
      </c>
      <c r="B399" t="str">
        <f t="shared" ca="1" si="31"/>
        <v>Chemicals</v>
      </c>
      <c r="C399">
        <f t="shared" ca="1" si="32"/>
        <v>1652</v>
      </c>
      <c r="D399">
        <f t="shared" ca="1" si="33"/>
        <v>0</v>
      </c>
      <c r="E399">
        <f t="shared" ca="1" si="34"/>
        <v>0</v>
      </c>
    </row>
    <row r="400" spans="1:5" x14ac:dyDescent="0.25">
      <c r="A400" s="2">
        <f t="shared" ca="1" si="30"/>
        <v>45947</v>
      </c>
      <c r="B400" t="str">
        <f t="shared" ca="1" si="31"/>
        <v>Packaging</v>
      </c>
      <c r="C400">
        <f t="shared" ca="1" si="32"/>
        <v>1164</v>
      </c>
      <c r="D400">
        <f t="shared" ca="1" si="33"/>
        <v>0</v>
      </c>
      <c r="E400">
        <f t="shared" ca="1" si="34"/>
        <v>0</v>
      </c>
    </row>
    <row r="401" spans="1:5" x14ac:dyDescent="0.25">
      <c r="A401" s="2">
        <f t="shared" ca="1" si="30"/>
        <v>45858</v>
      </c>
      <c r="B401" t="str">
        <f t="shared" ca="1" si="31"/>
        <v>Steel</v>
      </c>
      <c r="C401">
        <f t="shared" ca="1" si="32"/>
        <v>3038</v>
      </c>
      <c r="D401">
        <f t="shared" ca="1" si="33"/>
        <v>3</v>
      </c>
      <c r="E401">
        <f t="shared" ca="1" si="34"/>
        <v>455.70000000000005</v>
      </c>
    </row>
    <row r="402" spans="1:5" x14ac:dyDescent="0.25">
      <c r="A402" s="2">
        <f t="shared" ca="1" si="30"/>
        <v>45935</v>
      </c>
      <c r="B402" t="str">
        <f t="shared" ca="1" si="31"/>
        <v>Packaging</v>
      </c>
      <c r="C402">
        <f t="shared" ca="1" si="32"/>
        <v>4038</v>
      </c>
      <c r="D402">
        <f t="shared" ca="1" si="33"/>
        <v>0</v>
      </c>
      <c r="E402">
        <f t="shared" ca="1" si="34"/>
        <v>0</v>
      </c>
    </row>
    <row r="403" spans="1:5" x14ac:dyDescent="0.25">
      <c r="A403" s="2">
        <f t="shared" ca="1" si="30"/>
        <v>45961</v>
      </c>
      <c r="B403" t="str">
        <f t="shared" ca="1" si="31"/>
        <v>Chemicals</v>
      </c>
      <c r="C403">
        <f t="shared" ca="1" si="32"/>
        <v>4448</v>
      </c>
      <c r="D403">
        <f t="shared" ca="1" si="33"/>
        <v>0</v>
      </c>
      <c r="E403">
        <f t="shared" ca="1" si="34"/>
        <v>0</v>
      </c>
    </row>
    <row r="404" spans="1:5" x14ac:dyDescent="0.25">
      <c r="A404" s="2">
        <f t="shared" ca="1" si="30"/>
        <v>45833</v>
      </c>
      <c r="B404" t="str">
        <f t="shared" ca="1" si="31"/>
        <v>Chemicals</v>
      </c>
      <c r="C404">
        <f t="shared" ca="1" si="32"/>
        <v>2118</v>
      </c>
      <c r="D404">
        <f t="shared" ca="1" si="33"/>
        <v>0</v>
      </c>
      <c r="E404">
        <f t="shared" ca="1" si="34"/>
        <v>0</v>
      </c>
    </row>
    <row r="405" spans="1:5" x14ac:dyDescent="0.25">
      <c r="A405" s="2">
        <f t="shared" ca="1" si="30"/>
        <v>45863</v>
      </c>
      <c r="B405" t="str">
        <f t="shared" ca="1" si="31"/>
        <v>Chemicals</v>
      </c>
      <c r="C405">
        <f t="shared" ca="1" si="32"/>
        <v>2663</v>
      </c>
      <c r="D405">
        <f t="shared" ca="1" si="33"/>
        <v>9</v>
      </c>
      <c r="E405">
        <f t="shared" ca="1" si="34"/>
        <v>1198.3500000000001</v>
      </c>
    </row>
    <row r="406" spans="1:5" x14ac:dyDescent="0.25">
      <c r="A406" s="2">
        <f t="shared" ca="1" si="30"/>
        <v>45884</v>
      </c>
      <c r="B406" t="str">
        <f t="shared" ca="1" si="31"/>
        <v>Plastic</v>
      </c>
      <c r="C406">
        <f t="shared" ca="1" si="32"/>
        <v>4686</v>
      </c>
      <c r="D406">
        <f t="shared" ca="1" si="33"/>
        <v>4</v>
      </c>
      <c r="E406">
        <f t="shared" ca="1" si="34"/>
        <v>937.2</v>
      </c>
    </row>
    <row r="407" spans="1:5" x14ac:dyDescent="0.25">
      <c r="A407" s="2">
        <f t="shared" ca="1" si="30"/>
        <v>45797</v>
      </c>
      <c r="B407" t="str">
        <f t="shared" ca="1" si="31"/>
        <v>Plastic</v>
      </c>
      <c r="C407">
        <f t="shared" ca="1" si="32"/>
        <v>2552</v>
      </c>
      <c r="D407">
        <f t="shared" ca="1" si="33"/>
        <v>10</v>
      </c>
      <c r="E407">
        <f t="shared" ca="1" si="34"/>
        <v>1276</v>
      </c>
    </row>
    <row r="408" spans="1:5" x14ac:dyDescent="0.25">
      <c r="A408" s="2">
        <f t="shared" ca="1" si="30"/>
        <v>45953</v>
      </c>
      <c r="B408" t="str">
        <f t="shared" ca="1" si="31"/>
        <v>Packaging</v>
      </c>
      <c r="C408">
        <f t="shared" ca="1" si="32"/>
        <v>2844</v>
      </c>
      <c r="D408">
        <f t="shared" ca="1" si="33"/>
        <v>0</v>
      </c>
      <c r="E408">
        <f t="shared" ca="1" si="34"/>
        <v>0</v>
      </c>
    </row>
    <row r="409" spans="1:5" x14ac:dyDescent="0.25">
      <c r="A409" s="2">
        <f t="shared" ca="1" si="30"/>
        <v>45828</v>
      </c>
      <c r="B409" t="str">
        <f t="shared" ca="1" si="31"/>
        <v>Packaging</v>
      </c>
      <c r="C409">
        <f t="shared" ca="1" si="32"/>
        <v>4501</v>
      </c>
      <c r="D409">
        <f t="shared" ca="1" si="33"/>
        <v>8</v>
      </c>
      <c r="E409">
        <f t="shared" ca="1" si="34"/>
        <v>1800.4</v>
      </c>
    </row>
    <row r="410" spans="1:5" x14ac:dyDescent="0.25">
      <c r="A410" s="2">
        <f t="shared" ca="1" si="30"/>
        <v>45946</v>
      </c>
      <c r="B410" t="str">
        <f t="shared" ca="1" si="31"/>
        <v>Packaging</v>
      </c>
      <c r="C410">
        <f t="shared" ca="1" si="32"/>
        <v>2700</v>
      </c>
      <c r="D410">
        <f t="shared" ca="1" si="33"/>
        <v>0</v>
      </c>
      <c r="E410">
        <f t="shared" ca="1" si="34"/>
        <v>0</v>
      </c>
    </row>
    <row r="411" spans="1:5" x14ac:dyDescent="0.25">
      <c r="A411" s="2">
        <f t="shared" ca="1" si="30"/>
        <v>45860</v>
      </c>
      <c r="B411" t="str">
        <f t="shared" ca="1" si="31"/>
        <v>Packaging</v>
      </c>
      <c r="C411">
        <f t="shared" ca="1" si="32"/>
        <v>1902</v>
      </c>
      <c r="D411">
        <f t="shared" ca="1" si="33"/>
        <v>10</v>
      </c>
      <c r="E411">
        <f t="shared" ca="1" si="34"/>
        <v>951</v>
      </c>
    </row>
    <row r="412" spans="1:5" x14ac:dyDescent="0.25">
      <c r="A412" s="2">
        <f t="shared" ca="1" si="30"/>
        <v>45850</v>
      </c>
      <c r="B412" t="str">
        <f t="shared" ca="1" si="31"/>
        <v>Packaging</v>
      </c>
      <c r="C412">
        <f t="shared" ca="1" si="32"/>
        <v>3186</v>
      </c>
      <c r="D412">
        <f t="shared" ca="1" si="33"/>
        <v>6</v>
      </c>
      <c r="E412">
        <f t="shared" ca="1" si="34"/>
        <v>955.80000000000007</v>
      </c>
    </row>
    <row r="413" spans="1:5" x14ac:dyDescent="0.25">
      <c r="A413" s="2">
        <f t="shared" ca="1" si="30"/>
        <v>45810</v>
      </c>
      <c r="B413" t="str">
        <f t="shared" ca="1" si="31"/>
        <v>Plastic</v>
      </c>
      <c r="C413">
        <f t="shared" ca="1" si="32"/>
        <v>3360</v>
      </c>
      <c r="D413">
        <f t="shared" ca="1" si="33"/>
        <v>0</v>
      </c>
      <c r="E413">
        <f t="shared" ca="1" si="34"/>
        <v>0</v>
      </c>
    </row>
    <row r="414" spans="1:5" x14ac:dyDescent="0.25">
      <c r="A414" s="2">
        <f t="shared" ca="1" si="30"/>
        <v>45961</v>
      </c>
      <c r="B414" t="str">
        <f t="shared" ca="1" si="31"/>
        <v>Chemicals</v>
      </c>
      <c r="C414">
        <f t="shared" ca="1" si="32"/>
        <v>4718</v>
      </c>
      <c r="D414">
        <f t="shared" ca="1" si="33"/>
        <v>6</v>
      </c>
      <c r="E414">
        <f t="shared" ca="1" si="34"/>
        <v>1415.4</v>
      </c>
    </row>
    <row r="415" spans="1:5" x14ac:dyDescent="0.25">
      <c r="A415" s="2">
        <f t="shared" ca="1" si="30"/>
        <v>45901</v>
      </c>
      <c r="B415" t="str">
        <f t="shared" ca="1" si="31"/>
        <v>Plastic</v>
      </c>
      <c r="C415">
        <f t="shared" ca="1" si="32"/>
        <v>1715</v>
      </c>
      <c r="D415">
        <f t="shared" ca="1" si="33"/>
        <v>5</v>
      </c>
      <c r="E415">
        <f t="shared" ca="1" si="34"/>
        <v>428.75</v>
      </c>
    </row>
    <row r="416" spans="1:5" x14ac:dyDescent="0.25">
      <c r="A416" s="2">
        <f t="shared" ca="1" si="30"/>
        <v>45900</v>
      </c>
      <c r="B416" t="str">
        <f t="shared" ca="1" si="31"/>
        <v>Packaging</v>
      </c>
      <c r="C416">
        <f t="shared" ca="1" si="32"/>
        <v>1878</v>
      </c>
      <c r="D416">
        <f t="shared" ca="1" si="33"/>
        <v>0</v>
      </c>
      <c r="E416">
        <f t="shared" ca="1" si="34"/>
        <v>0</v>
      </c>
    </row>
    <row r="417" spans="1:5" x14ac:dyDescent="0.25">
      <c r="A417" s="2">
        <f t="shared" ca="1" si="30"/>
        <v>45929</v>
      </c>
      <c r="B417" t="str">
        <f t="shared" ca="1" si="31"/>
        <v>Chemicals</v>
      </c>
      <c r="C417">
        <f t="shared" ca="1" si="32"/>
        <v>2366</v>
      </c>
      <c r="D417">
        <f t="shared" ca="1" si="33"/>
        <v>2</v>
      </c>
      <c r="E417">
        <f t="shared" ca="1" si="34"/>
        <v>236.60000000000002</v>
      </c>
    </row>
    <row r="418" spans="1:5" x14ac:dyDescent="0.25">
      <c r="A418" s="2">
        <f t="shared" ca="1" si="30"/>
        <v>45858</v>
      </c>
      <c r="B418" t="str">
        <f t="shared" ca="1" si="31"/>
        <v>Plastic</v>
      </c>
      <c r="C418">
        <f t="shared" ca="1" si="32"/>
        <v>2309</v>
      </c>
      <c r="D418">
        <f t="shared" ca="1" si="33"/>
        <v>0</v>
      </c>
      <c r="E418">
        <f t="shared" ca="1" si="34"/>
        <v>0</v>
      </c>
    </row>
    <row r="419" spans="1:5" x14ac:dyDescent="0.25">
      <c r="A419" s="2">
        <f t="shared" ca="1" si="30"/>
        <v>45802</v>
      </c>
      <c r="B419" t="str">
        <f t="shared" ca="1" si="31"/>
        <v>Plastic</v>
      </c>
      <c r="C419">
        <f t="shared" ca="1" si="32"/>
        <v>4772</v>
      </c>
      <c r="D419">
        <f t="shared" ca="1" si="33"/>
        <v>0</v>
      </c>
      <c r="E419">
        <f t="shared" ca="1" si="34"/>
        <v>0</v>
      </c>
    </row>
    <row r="420" spans="1:5" x14ac:dyDescent="0.25">
      <c r="A420" s="2">
        <f t="shared" ca="1" si="30"/>
        <v>45937</v>
      </c>
      <c r="B420" t="str">
        <f t="shared" ca="1" si="31"/>
        <v>Steel</v>
      </c>
      <c r="C420">
        <f t="shared" ca="1" si="32"/>
        <v>4556</v>
      </c>
      <c r="D420">
        <f t="shared" ca="1" si="33"/>
        <v>0</v>
      </c>
      <c r="E420">
        <f t="shared" ca="1" si="34"/>
        <v>0</v>
      </c>
    </row>
    <row r="421" spans="1:5" x14ac:dyDescent="0.25">
      <c r="A421" s="2">
        <f t="shared" ca="1" si="30"/>
        <v>45813</v>
      </c>
      <c r="B421" t="str">
        <f t="shared" ca="1" si="31"/>
        <v>Packaging</v>
      </c>
      <c r="C421">
        <f t="shared" ca="1" si="32"/>
        <v>3205</v>
      </c>
      <c r="D421">
        <f t="shared" ca="1" si="33"/>
        <v>0</v>
      </c>
      <c r="E421">
        <f t="shared" ca="1" si="34"/>
        <v>0</v>
      </c>
    </row>
    <row r="422" spans="1:5" x14ac:dyDescent="0.25">
      <c r="A422" s="2">
        <f t="shared" ca="1" si="30"/>
        <v>45791</v>
      </c>
      <c r="B422" t="str">
        <f t="shared" ca="1" si="31"/>
        <v>Steel</v>
      </c>
      <c r="C422">
        <f t="shared" ca="1" si="32"/>
        <v>1900</v>
      </c>
      <c r="D422">
        <f t="shared" ca="1" si="33"/>
        <v>0</v>
      </c>
      <c r="E422">
        <f t="shared" ca="1" si="34"/>
        <v>0</v>
      </c>
    </row>
    <row r="423" spans="1:5" x14ac:dyDescent="0.25">
      <c r="A423" s="2">
        <f t="shared" ca="1" si="30"/>
        <v>45823</v>
      </c>
      <c r="B423" t="str">
        <f t="shared" ca="1" si="31"/>
        <v>Plastic</v>
      </c>
      <c r="C423">
        <f t="shared" ca="1" si="32"/>
        <v>2843</v>
      </c>
      <c r="D423">
        <f t="shared" ca="1" si="33"/>
        <v>0</v>
      </c>
      <c r="E423">
        <f t="shared" ca="1" si="34"/>
        <v>0</v>
      </c>
    </row>
    <row r="424" spans="1:5" x14ac:dyDescent="0.25">
      <c r="A424" s="2">
        <f t="shared" ca="1" si="30"/>
        <v>45864</v>
      </c>
      <c r="B424" t="str">
        <f t="shared" ca="1" si="31"/>
        <v>Chemicals</v>
      </c>
      <c r="C424">
        <f t="shared" ca="1" si="32"/>
        <v>2186</v>
      </c>
      <c r="D424">
        <f t="shared" ca="1" si="33"/>
        <v>9</v>
      </c>
      <c r="E424">
        <f t="shared" ca="1" si="34"/>
        <v>983.7</v>
      </c>
    </row>
    <row r="425" spans="1:5" x14ac:dyDescent="0.25">
      <c r="A425" s="2">
        <f t="shared" ca="1" si="30"/>
        <v>45807</v>
      </c>
      <c r="B425" t="str">
        <f t="shared" ca="1" si="31"/>
        <v>Steel</v>
      </c>
      <c r="C425">
        <f t="shared" ca="1" si="32"/>
        <v>2363</v>
      </c>
      <c r="D425">
        <f t="shared" ca="1" si="33"/>
        <v>0</v>
      </c>
      <c r="E425">
        <f t="shared" ca="1" si="34"/>
        <v>0</v>
      </c>
    </row>
    <row r="426" spans="1:5" x14ac:dyDescent="0.25">
      <c r="A426" s="2">
        <f t="shared" ca="1" si="30"/>
        <v>45808</v>
      </c>
      <c r="B426" t="str">
        <f t="shared" ca="1" si="31"/>
        <v>Steel</v>
      </c>
      <c r="C426">
        <f t="shared" ca="1" si="32"/>
        <v>2526</v>
      </c>
      <c r="D426">
        <f t="shared" ca="1" si="33"/>
        <v>0</v>
      </c>
      <c r="E426">
        <f t="shared" ca="1" si="34"/>
        <v>0</v>
      </c>
    </row>
    <row r="427" spans="1:5" x14ac:dyDescent="0.25">
      <c r="A427" s="2">
        <f t="shared" ca="1" si="30"/>
        <v>45937</v>
      </c>
      <c r="B427" t="str">
        <f t="shared" ca="1" si="31"/>
        <v>Steel</v>
      </c>
      <c r="C427">
        <f t="shared" ca="1" si="32"/>
        <v>4561</v>
      </c>
      <c r="D427">
        <f t="shared" ca="1" si="33"/>
        <v>4</v>
      </c>
      <c r="E427">
        <f t="shared" ca="1" si="34"/>
        <v>912.2</v>
      </c>
    </row>
    <row r="428" spans="1:5" x14ac:dyDescent="0.25">
      <c r="A428" s="2">
        <f t="shared" ca="1" si="30"/>
        <v>45927</v>
      </c>
      <c r="B428" t="str">
        <f t="shared" ca="1" si="31"/>
        <v>Chemicals</v>
      </c>
      <c r="C428">
        <f t="shared" ca="1" si="32"/>
        <v>4962</v>
      </c>
      <c r="D428">
        <f t="shared" ca="1" si="33"/>
        <v>0</v>
      </c>
      <c r="E428">
        <f t="shared" ca="1" si="34"/>
        <v>0</v>
      </c>
    </row>
    <row r="429" spans="1:5" x14ac:dyDescent="0.25">
      <c r="A429" s="2">
        <f t="shared" ca="1" si="30"/>
        <v>45795</v>
      </c>
      <c r="B429" t="str">
        <f t="shared" ca="1" si="31"/>
        <v>Steel</v>
      </c>
      <c r="C429">
        <f t="shared" ca="1" si="32"/>
        <v>4672</v>
      </c>
      <c r="D429">
        <f t="shared" ca="1" si="33"/>
        <v>10</v>
      </c>
      <c r="E429">
        <f t="shared" ca="1" si="34"/>
        <v>2336</v>
      </c>
    </row>
    <row r="430" spans="1:5" x14ac:dyDescent="0.25">
      <c r="A430" s="2">
        <f t="shared" ca="1" si="30"/>
        <v>45884</v>
      </c>
      <c r="B430" t="str">
        <f t="shared" ca="1" si="31"/>
        <v>Chemicals</v>
      </c>
      <c r="C430">
        <f t="shared" ca="1" si="32"/>
        <v>1539</v>
      </c>
      <c r="D430">
        <f t="shared" ca="1" si="33"/>
        <v>0</v>
      </c>
      <c r="E430">
        <f t="shared" ca="1" si="34"/>
        <v>0</v>
      </c>
    </row>
    <row r="431" spans="1:5" x14ac:dyDescent="0.25">
      <c r="A431" s="2">
        <f t="shared" ca="1" si="30"/>
        <v>45873</v>
      </c>
      <c r="B431" t="str">
        <f t="shared" ca="1" si="31"/>
        <v>Packaging</v>
      </c>
      <c r="C431">
        <f t="shared" ca="1" si="32"/>
        <v>1855</v>
      </c>
      <c r="D431">
        <f t="shared" ca="1" si="33"/>
        <v>8</v>
      </c>
      <c r="E431">
        <f t="shared" ca="1" si="34"/>
        <v>742</v>
      </c>
    </row>
    <row r="432" spans="1:5" x14ac:dyDescent="0.25">
      <c r="A432" s="2">
        <f t="shared" ca="1" si="30"/>
        <v>45851</v>
      </c>
      <c r="B432" t="str">
        <f t="shared" ca="1" si="31"/>
        <v>Plastic</v>
      </c>
      <c r="C432">
        <f t="shared" ca="1" si="32"/>
        <v>1286</v>
      </c>
      <c r="D432">
        <f t="shared" ca="1" si="33"/>
        <v>0</v>
      </c>
      <c r="E432">
        <f t="shared" ca="1" si="34"/>
        <v>0</v>
      </c>
    </row>
    <row r="433" spans="1:5" x14ac:dyDescent="0.25">
      <c r="A433" s="2">
        <f t="shared" ca="1" si="30"/>
        <v>45829</v>
      </c>
      <c r="B433" t="str">
        <f t="shared" ca="1" si="31"/>
        <v>Plastic</v>
      </c>
      <c r="C433">
        <f t="shared" ca="1" si="32"/>
        <v>1002</v>
      </c>
      <c r="D433">
        <f t="shared" ca="1" si="33"/>
        <v>7</v>
      </c>
      <c r="E433">
        <f t="shared" ca="1" si="34"/>
        <v>350.70000000000005</v>
      </c>
    </row>
    <row r="434" spans="1:5" x14ac:dyDescent="0.25">
      <c r="A434" s="2">
        <f t="shared" ca="1" si="30"/>
        <v>45884</v>
      </c>
      <c r="B434" t="str">
        <f t="shared" ca="1" si="31"/>
        <v>Chemicals</v>
      </c>
      <c r="C434">
        <f t="shared" ca="1" si="32"/>
        <v>1773</v>
      </c>
      <c r="D434">
        <f t="shared" ca="1" si="33"/>
        <v>6</v>
      </c>
      <c r="E434">
        <f t="shared" ca="1" si="34"/>
        <v>531.9</v>
      </c>
    </row>
    <row r="435" spans="1:5" x14ac:dyDescent="0.25">
      <c r="A435" s="2">
        <f t="shared" ca="1" si="30"/>
        <v>45850</v>
      </c>
      <c r="B435" t="str">
        <f t="shared" ca="1" si="31"/>
        <v>Packaging</v>
      </c>
      <c r="C435">
        <f t="shared" ca="1" si="32"/>
        <v>3933</v>
      </c>
      <c r="D435">
        <f t="shared" ca="1" si="33"/>
        <v>0</v>
      </c>
      <c r="E435">
        <f t="shared" ca="1" si="34"/>
        <v>0</v>
      </c>
    </row>
    <row r="436" spans="1:5" x14ac:dyDescent="0.25">
      <c r="A436" s="2">
        <f t="shared" ca="1" si="30"/>
        <v>45905</v>
      </c>
      <c r="B436" t="str">
        <f t="shared" ca="1" si="31"/>
        <v>Plastic</v>
      </c>
      <c r="C436">
        <f t="shared" ca="1" si="32"/>
        <v>2428</v>
      </c>
      <c r="D436">
        <f t="shared" ca="1" si="33"/>
        <v>1</v>
      </c>
      <c r="E436">
        <f t="shared" ca="1" si="34"/>
        <v>121.4</v>
      </c>
    </row>
    <row r="437" spans="1:5" x14ac:dyDescent="0.25">
      <c r="A437" s="2">
        <f t="shared" ca="1" si="30"/>
        <v>45918</v>
      </c>
      <c r="B437" t="str">
        <f t="shared" ca="1" si="31"/>
        <v>Steel</v>
      </c>
      <c r="C437">
        <f t="shared" ca="1" si="32"/>
        <v>1384</v>
      </c>
      <c r="D437">
        <f t="shared" ca="1" si="33"/>
        <v>0</v>
      </c>
      <c r="E437">
        <f t="shared" ca="1" si="34"/>
        <v>0</v>
      </c>
    </row>
    <row r="438" spans="1:5" x14ac:dyDescent="0.25">
      <c r="A438" s="2">
        <f t="shared" ca="1" si="30"/>
        <v>45875</v>
      </c>
      <c r="B438" t="str">
        <f t="shared" ca="1" si="31"/>
        <v>Plastic</v>
      </c>
      <c r="C438">
        <f t="shared" ca="1" si="32"/>
        <v>2369</v>
      </c>
      <c r="D438">
        <f t="shared" ca="1" si="33"/>
        <v>0</v>
      </c>
      <c r="E438">
        <f t="shared" ca="1" si="34"/>
        <v>0</v>
      </c>
    </row>
    <row r="439" spans="1:5" x14ac:dyDescent="0.25">
      <c r="A439" s="2">
        <f t="shared" ca="1" si="30"/>
        <v>45878</v>
      </c>
      <c r="B439" t="str">
        <f t="shared" ca="1" si="31"/>
        <v>Packaging</v>
      </c>
      <c r="C439">
        <f t="shared" ca="1" si="32"/>
        <v>4551</v>
      </c>
      <c r="D439">
        <f t="shared" ca="1" si="33"/>
        <v>6</v>
      </c>
      <c r="E439">
        <f t="shared" ca="1" si="34"/>
        <v>1365.3000000000002</v>
      </c>
    </row>
    <row r="440" spans="1:5" x14ac:dyDescent="0.25">
      <c r="A440" s="2">
        <f t="shared" ca="1" si="30"/>
        <v>45884</v>
      </c>
      <c r="B440" t="str">
        <f t="shared" ca="1" si="31"/>
        <v>Packaging</v>
      </c>
      <c r="C440">
        <f t="shared" ca="1" si="32"/>
        <v>3576</v>
      </c>
      <c r="D440">
        <f t="shared" ca="1" si="33"/>
        <v>0</v>
      </c>
      <c r="E440">
        <f t="shared" ca="1" si="34"/>
        <v>0</v>
      </c>
    </row>
    <row r="441" spans="1:5" x14ac:dyDescent="0.25">
      <c r="A441" s="2">
        <f t="shared" ca="1" si="30"/>
        <v>45913</v>
      </c>
      <c r="B441" t="str">
        <f t="shared" ca="1" si="31"/>
        <v>Chemicals</v>
      </c>
      <c r="C441">
        <f t="shared" ca="1" si="32"/>
        <v>4335</v>
      </c>
      <c r="D441">
        <f t="shared" ca="1" si="33"/>
        <v>0</v>
      </c>
      <c r="E441">
        <f t="shared" ca="1" si="34"/>
        <v>0</v>
      </c>
    </row>
    <row r="442" spans="1:5" x14ac:dyDescent="0.25">
      <c r="A442" s="2">
        <f t="shared" ca="1" si="30"/>
        <v>45905</v>
      </c>
      <c r="B442" t="str">
        <f t="shared" ca="1" si="31"/>
        <v>Chemicals</v>
      </c>
      <c r="C442">
        <f t="shared" ca="1" si="32"/>
        <v>2253</v>
      </c>
      <c r="D442">
        <f t="shared" ca="1" si="33"/>
        <v>0</v>
      </c>
      <c r="E442">
        <f t="shared" ca="1" si="34"/>
        <v>0</v>
      </c>
    </row>
    <row r="443" spans="1:5" x14ac:dyDescent="0.25">
      <c r="A443" s="2">
        <f t="shared" ca="1" si="30"/>
        <v>45788</v>
      </c>
      <c r="B443" t="str">
        <f t="shared" ca="1" si="31"/>
        <v>Plastic</v>
      </c>
      <c r="C443">
        <f t="shared" ca="1" si="32"/>
        <v>2771</v>
      </c>
      <c r="D443">
        <f t="shared" ca="1" si="33"/>
        <v>0</v>
      </c>
      <c r="E443">
        <f t="shared" ca="1" si="34"/>
        <v>0</v>
      </c>
    </row>
    <row r="444" spans="1:5" x14ac:dyDescent="0.25">
      <c r="A444" s="2">
        <f t="shared" ca="1" si="30"/>
        <v>45799</v>
      </c>
      <c r="B444" t="str">
        <f t="shared" ca="1" si="31"/>
        <v>Packaging</v>
      </c>
      <c r="C444">
        <f t="shared" ca="1" si="32"/>
        <v>3333</v>
      </c>
      <c r="D444">
        <f t="shared" ca="1" si="33"/>
        <v>7</v>
      </c>
      <c r="E444">
        <f t="shared" ca="1" si="34"/>
        <v>1166.55</v>
      </c>
    </row>
    <row r="445" spans="1:5" x14ac:dyDescent="0.25">
      <c r="A445" s="2">
        <f t="shared" ca="1" si="30"/>
        <v>45804</v>
      </c>
      <c r="B445" t="str">
        <f t="shared" ca="1" si="31"/>
        <v>Packaging</v>
      </c>
      <c r="C445">
        <f t="shared" ca="1" si="32"/>
        <v>3484</v>
      </c>
      <c r="D445">
        <f t="shared" ca="1" si="33"/>
        <v>0</v>
      </c>
      <c r="E445">
        <f t="shared" ca="1" si="34"/>
        <v>0</v>
      </c>
    </row>
    <row r="446" spans="1:5" x14ac:dyDescent="0.25">
      <c r="A446" s="2">
        <f t="shared" ca="1" si="30"/>
        <v>45812</v>
      </c>
      <c r="B446" t="str">
        <f t="shared" ca="1" si="31"/>
        <v>Packaging</v>
      </c>
      <c r="C446">
        <f t="shared" ca="1" si="32"/>
        <v>2093</v>
      </c>
      <c r="D446">
        <f t="shared" ca="1" si="33"/>
        <v>0</v>
      </c>
      <c r="E446">
        <f t="shared" ca="1" si="34"/>
        <v>0</v>
      </c>
    </row>
    <row r="447" spans="1:5" x14ac:dyDescent="0.25">
      <c r="A447" s="2">
        <f t="shared" ca="1" si="30"/>
        <v>45790</v>
      </c>
      <c r="B447" t="str">
        <f t="shared" ca="1" si="31"/>
        <v>Steel</v>
      </c>
      <c r="C447">
        <f t="shared" ca="1" si="32"/>
        <v>1568</v>
      </c>
      <c r="D447">
        <f t="shared" ca="1" si="33"/>
        <v>0</v>
      </c>
      <c r="E447">
        <f t="shared" ca="1" si="34"/>
        <v>0</v>
      </c>
    </row>
    <row r="448" spans="1:5" x14ac:dyDescent="0.25">
      <c r="A448" s="2">
        <f t="shared" ca="1" si="30"/>
        <v>45793</v>
      </c>
      <c r="B448" t="str">
        <f t="shared" ca="1" si="31"/>
        <v>Packaging</v>
      </c>
      <c r="C448">
        <f t="shared" ca="1" si="32"/>
        <v>2854</v>
      </c>
      <c r="D448">
        <f t="shared" ca="1" si="33"/>
        <v>6</v>
      </c>
      <c r="E448">
        <f t="shared" ca="1" si="34"/>
        <v>856.2</v>
      </c>
    </row>
    <row r="449" spans="1:5" x14ac:dyDescent="0.25">
      <c r="A449" s="2">
        <f t="shared" ca="1" si="30"/>
        <v>45935</v>
      </c>
      <c r="B449" t="str">
        <f t="shared" ca="1" si="31"/>
        <v>Packaging</v>
      </c>
      <c r="C449">
        <f t="shared" ca="1" si="32"/>
        <v>2664</v>
      </c>
      <c r="D449">
        <f t="shared" ca="1" si="33"/>
        <v>7</v>
      </c>
      <c r="E449">
        <f t="shared" ca="1" si="34"/>
        <v>932.40000000000009</v>
      </c>
    </row>
    <row r="450" spans="1:5" x14ac:dyDescent="0.25">
      <c r="A450" s="2">
        <f t="shared" ref="A450:A499" ca="1" si="35">TODAY()-RANDBETWEEN(1,180)</f>
        <v>45868</v>
      </c>
      <c r="B450" t="str">
        <f t="shared" ref="B450:B502" ca="1" si="36">CHOOSE(RANDBETWEEN(1,4),"Steel","Plastic","Chemicals","Packaging")</f>
        <v>Packaging</v>
      </c>
      <c r="C450">
        <f t="shared" ref="C450:C499" ca="1" si="37">ROUND(RANDBETWEEN(1000,5000), 0)</f>
        <v>3413</v>
      </c>
      <c r="D450">
        <f t="shared" ref="D450:D502" ca="1" si="38">ROUND(CHOOSE(RANDBETWEEN(1,3), 0, 0, RANDBETWEEN(1,10)),0)</f>
        <v>0</v>
      </c>
      <c r="E450">
        <f t="shared" ref="E450:E500" ca="1" si="39">IF(D450&gt;0,D450*C450*0.05, 0)</f>
        <v>0</v>
      </c>
    </row>
    <row r="451" spans="1:5" x14ac:dyDescent="0.25">
      <c r="A451" s="2">
        <f t="shared" ca="1" si="35"/>
        <v>45800</v>
      </c>
      <c r="B451" t="str">
        <f t="shared" ca="1" si="36"/>
        <v>Packaging</v>
      </c>
      <c r="C451">
        <f t="shared" ca="1" si="37"/>
        <v>4375</v>
      </c>
      <c r="D451">
        <f t="shared" ca="1" si="38"/>
        <v>0</v>
      </c>
      <c r="E451">
        <f t="shared" ca="1" si="39"/>
        <v>0</v>
      </c>
    </row>
    <row r="452" spans="1:5" x14ac:dyDescent="0.25">
      <c r="A452" s="2">
        <f t="shared" ca="1" si="35"/>
        <v>45891</v>
      </c>
      <c r="B452" t="str">
        <f t="shared" ca="1" si="36"/>
        <v>Plastic</v>
      </c>
      <c r="C452">
        <f t="shared" ca="1" si="37"/>
        <v>2684</v>
      </c>
      <c r="D452">
        <f t="shared" ca="1" si="38"/>
        <v>0</v>
      </c>
      <c r="E452">
        <f t="shared" ca="1" si="39"/>
        <v>0</v>
      </c>
    </row>
    <row r="453" spans="1:5" x14ac:dyDescent="0.25">
      <c r="A453" s="2">
        <f t="shared" ca="1" si="35"/>
        <v>45959</v>
      </c>
      <c r="B453" t="str">
        <f t="shared" ca="1" si="36"/>
        <v>Plastic</v>
      </c>
      <c r="C453">
        <f t="shared" ca="1" si="37"/>
        <v>2491</v>
      </c>
      <c r="D453">
        <f t="shared" ca="1" si="38"/>
        <v>0</v>
      </c>
      <c r="E453">
        <f t="shared" ca="1" si="39"/>
        <v>0</v>
      </c>
    </row>
    <row r="454" spans="1:5" x14ac:dyDescent="0.25">
      <c r="A454" s="2">
        <f t="shared" ca="1" si="35"/>
        <v>45790</v>
      </c>
      <c r="B454" t="str">
        <f t="shared" ca="1" si="36"/>
        <v>Packaging</v>
      </c>
      <c r="C454">
        <f t="shared" ca="1" si="37"/>
        <v>3032</v>
      </c>
      <c r="D454">
        <f t="shared" ca="1" si="38"/>
        <v>0</v>
      </c>
      <c r="E454">
        <f t="shared" ca="1" si="39"/>
        <v>0</v>
      </c>
    </row>
    <row r="455" spans="1:5" x14ac:dyDescent="0.25">
      <c r="A455" s="2">
        <f t="shared" ca="1" si="35"/>
        <v>45805</v>
      </c>
      <c r="B455" t="str">
        <f t="shared" ca="1" si="36"/>
        <v>Chemicals</v>
      </c>
      <c r="C455">
        <f t="shared" ca="1" si="37"/>
        <v>4740</v>
      </c>
      <c r="D455">
        <f t="shared" ca="1" si="38"/>
        <v>0</v>
      </c>
      <c r="E455">
        <f t="shared" ca="1" si="39"/>
        <v>0</v>
      </c>
    </row>
    <row r="456" spans="1:5" x14ac:dyDescent="0.25">
      <c r="A456" s="2">
        <f t="shared" ca="1" si="35"/>
        <v>45834</v>
      </c>
      <c r="B456" t="str">
        <f t="shared" ca="1" si="36"/>
        <v>Chemicals</v>
      </c>
      <c r="C456">
        <f t="shared" ca="1" si="37"/>
        <v>4367</v>
      </c>
      <c r="D456">
        <f t="shared" ca="1" si="38"/>
        <v>3</v>
      </c>
      <c r="E456">
        <f t="shared" ca="1" si="39"/>
        <v>655.05000000000007</v>
      </c>
    </row>
    <row r="457" spans="1:5" x14ac:dyDescent="0.25">
      <c r="A457" s="2">
        <f t="shared" ca="1" si="35"/>
        <v>45848</v>
      </c>
      <c r="B457" t="str">
        <f t="shared" ca="1" si="36"/>
        <v>Chemicals</v>
      </c>
      <c r="C457">
        <f t="shared" ca="1" si="37"/>
        <v>1753</v>
      </c>
      <c r="D457">
        <f t="shared" ca="1" si="38"/>
        <v>0</v>
      </c>
      <c r="E457">
        <f t="shared" ca="1" si="39"/>
        <v>0</v>
      </c>
    </row>
    <row r="458" spans="1:5" x14ac:dyDescent="0.25">
      <c r="A458" s="2">
        <f t="shared" ca="1" si="35"/>
        <v>45822</v>
      </c>
      <c r="B458" t="str">
        <f t="shared" ca="1" si="36"/>
        <v>Packaging</v>
      </c>
      <c r="C458">
        <f t="shared" ca="1" si="37"/>
        <v>4219</v>
      </c>
      <c r="D458">
        <f t="shared" ca="1" si="38"/>
        <v>1</v>
      </c>
      <c r="E458">
        <f t="shared" ca="1" si="39"/>
        <v>210.95000000000002</v>
      </c>
    </row>
    <row r="459" spans="1:5" x14ac:dyDescent="0.25">
      <c r="A459" s="2">
        <f t="shared" ca="1" si="35"/>
        <v>45808</v>
      </c>
      <c r="B459" t="str">
        <f t="shared" ca="1" si="36"/>
        <v>Chemicals</v>
      </c>
      <c r="C459">
        <f t="shared" ca="1" si="37"/>
        <v>2966</v>
      </c>
      <c r="D459">
        <f t="shared" ca="1" si="38"/>
        <v>7</v>
      </c>
      <c r="E459">
        <f t="shared" ca="1" si="39"/>
        <v>1038.1000000000001</v>
      </c>
    </row>
    <row r="460" spans="1:5" x14ac:dyDescent="0.25">
      <c r="A460" s="2">
        <f t="shared" ca="1" si="35"/>
        <v>45805</v>
      </c>
      <c r="B460" t="str">
        <f t="shared" ca="1" si="36"/>
        <v>Chemicals</v>
      </c>
      <c r="C460">
        <f t="shared" ca="1" si="37"/>
        <v>1667</v>
      </c>
      <c r="D460">
        <f t="shared" ca="1" si="38"/>
        <v>0</v>
      </c>
      <c r="E460">
        <f t="shared" ca="1" si="39"/>
        <v>0</v>
      </c>
    </row>
    <row r="461" spans="1:5" x14ac:dyDescent="0.25">
      <c r="A461" s="2">
        <f t="shared" ca="1" si="35"/>
        <v>45884</v>
      </c>
      <c r="B461" t="str">
        <f t="shared" ca="1" si="36"/>
        <v>Chemicals</v>
      </c>
      <c r="C461">
        <f t="shared" ca="1" si="37"/>
        <v>1029</v>
      </c>
      <c r="D461">
        <f t="shared" ca="1" si="38"/>
        <v>0</v>
      </c>
      <c r="E461">
        <f t="shared" ca="1" si="39"/>
        <v>0</v>
      </c>
    </row>
    <row r="462" spans="1:5" x14ac:dyDescent="0.25">
      <c r="A462" s="2">
        <f t="shared" ca="1" si="35"/>
        <v>45846</v>
      </c>
      <c r="B462" t="str">
        <f t="shared" ca="1" si="36"/>
        <v>Plastic</v>
      </c>
      <c r="C462">
        <f t="shared" ca="1" si="37"/>
        <v>1790</v>
      </c>
      <c r="D462">
        <f t="shared" ca="1" si="38"/>
        <v>0</v>
      </c>
      <c r="E462">
        <f t="shared" ca="1" si="39"/>
        <v>0</v>
      </c>
    </row>
    <row r="463" spans="1:5" x14ac:dyDescent="0.25">
      <c r="A463" s="2">
        <f t="shared" ca="1" si="35"/>
        <v>45930</v>
      </c>
      <c r="B463" t="str">
        <f t="shared" ca="1" si="36"/>
        <v>Packaging</v>
      </c>
      <c r="C463">
        <f t="shared" ca="1" si="37"/>
        <v>3167</v>
      </c>
      <c r="D463">
        <f t="shared" ca="1" si="38"/>
        <v>0</v>
      </c>
      <c r="E463">
        <f t="shared" ca="1" si="39"/>
        <v>0</v>
      </c>
    </row>
    <row r="464" spans="1:5" x14ac:dyDescent="0.25">
      <c r="A464" s="2">
        <f t="shared" ca="1" si="35"/>
        <v>45829</v>
      </c>
      <c r="B464" t="str">
        <f t="shared" ca="1" si="36"/>
        <v>Packaging</v>
      </c>
      <c r="C464">
        <f t="shared" ca="1" si="37"/>
        <v>4121</v>
      </c>
      <c r="D464">
        <f t="shared" ca="1" si="38"/>
        <v>0</v>
      </c>
      <c r="E464">
        <f t="shared" ca="1" si="39"/>
        <v>0</v>
      </c>
    </row>
    <row r="465" spans="1:5" x14ac:dyDescent="0.25">
      <c r="A465" s="2">
        <f t="shared" ca="1" si="35"/>
        <v>45910</v>
      </c>
      <c r="B465" t="str">
        <f t="shared" ca="1" si="36"/>
        <v>Plastic</v>
      </c>
      <c r="C465">
        <f t="shared" ca="1" si="37"/>
        <v>4660</v>
      </c>
      <c r="D465">
        <f t="shared" ca="1" si="38"/>
        <v>1</v>
      </c>
      <c r="E465">
        <f t="shared" ca="1" si="39"/>
        <v>233</v>
      </c>
    </row>
    <row r="466" spans="1:5" x14ac:dyDescent="0.25">
      <c r="A466" s="2">
        <f t="shared" ca="1" si="35"/>
        <v>45820</v>
      </c>
      <c r="B466" t="str">
        <f t="shared" ca="1" si="36"/>
        <v>Steel</v>
      </c>
      <c r="C466">
        <f t="shared" ca="1" si="37"/>
        <v>3154</v>
      </c>
      <c r="D466">
        <f t="shared" ca="1" si="38"/>
        <v>0</v>
      </c>
      <c r="E466">
        <f t="shared" ca="1" si="39"/>
        <v>0</v>
      </c>
    </row>
    <row r="467" spans="1:5" x14ac:dyDescent="0.25">
      <c r="A467" s="2">
        <f t="shared" ca="1" si="35"/>
        <v>45954</v>
      </c>
      <c r="B467" t="str">
        <f t="shared" ca="1" si="36"/>
        <v>Packaging</v>
      </c>
      <c r="C467">
        <f t="shared" ca="1" si="37"/>
        <v>1809</v>
      </c>
      <c r="D467">
        <f t="shared" ca="1" si="38"/>
        <v>9</v>
      </c>
      <c r="E467">
        <f t="shared" ca="1" si="39"/>
        <v>814.05000000000007</v>
      </c>
    </row>
    <row r="468" spans="1:5" x14ac:dyDescent="0.25">
      <c r="A468" s="2">
        <f t="shared" ca="1" si="35"/>
        <v>45909</v>
      </c>
      <c r="B468" t="str">
        <f t="shared" ca="1" si="36"/>
        <v>Packaging</v>
      </c>
      <c r="C468">
        <f t="shared" ca="1" si="37"/>
        <v>4737</v>
      </c>
      <c r="D468">
        <f t="shared" ca="1" si="38"/>
        <v>0</v>
      </c>
      <c r="E468">
        <f t="shared" ca="1" si="39"/>
        <v>0</v>
      </c>
    </row>
    <row r="469" spans="1:5" x14ac:dyDescent="0.25">
      <c r="A469" s="2">
        <f t="shared" ca="1" si="35"/>
        <v>45804</v>
      </c>
      <c r="B469" t="str">
        <f t="shared" ca="1" si="36"/>
        <v>Plastic</v>
      </c>
      <c r="C469">
        <f t="shared" ca="1" si="37"/>
        <v>1948</v>
      </c>
      <c r="D469">
        <f t="shared" ca="1" si="38"/>
        <v>5</v>
      </c>
      <c r="E469">
        <f t="shared" ca="1" si="39"/>
        <v>487</v>
      </c>
    </row>
    <row r="470" spans="1:5" x14ac:dyDescent="0.25">
      <c r="A470" s="2">
        <f t="shared" ca="1" si="35"/>
        <v>45919</v>
      </c>
      <c r="B470" t="str">
        <f t="shared" ca="1" si="36"/>
        <v>Packaging</v>
      </c>
      <c r="C470">
        <f t="shared" ca="1" si="37"/>
        <v>2359</v>
      </c>
      <c r="D470">
        <f t="shared" ca="1" si="38"/>
        <v>0</v>
      </c>
      <c r="E470">
        <f t="shared" ca="1" si="39"/>
        <v>0</v>
      </c>
    </row>
    <row r="471" spans="1:5" x14ac:dyDescent="0.25">
      <c r="A471" s="2">
        <f t="shared" ca="1" si="35"/>
        <v>45873</v>
      </c>
      <c r="B471" t="str">
        <f t="shared" ca="1" si="36"/>
        <v>Plastic</v>
      </c>
      <c r="C471">
        <f t="shared" ca="1" si="37"/>
        <v>2738</v>
      </c>
      <c r="D471">
        <f t="shared" ca="1" si="38"/>
        <v>4</v>
      </c>
      <c r="E471">
        <f t="shared" ca="1" si="39"/>
        <v>547.6</v>
      </c>
    </row>
    <row r="472" spans="1:5" x14ac:dyDescent="0.25">
      <c r="A472" s="2">
        <f t="shared" ca="1" si="35"/>
        <v>45903</v>
      </c>
      <c r="B472" t="str">
        <f t="shared" ca="1" si="36"/>
        <v>Steel</v>
      </c>
      <c r="C472">
        <f t="shared" ca="1" si="37"/>
        <v>2827</v>
      </c>
      <c r="D472">
        <f t="shared" ca="1" si="38"/>
        <v>0</v>
      </c>
      <c r="E472">
        <f t="shared" ca="1" si="39"/>
        <v>0</v>
      </c>
    </row>
    <row r="473" spans="1:5" x14ac:dyDescent="0.25">
      <c r="A473" s="2">
        <f t="shared" ca="1" si="35"/>
        <v>45881</v>
      </c>
      <c r="B473" t="str">
        <f t="shared" ca="1" si="36"/>
        <v>Chemicals</v>
      </c>
      <c r="C473">
        <f t="shared" ca="1" si="37"/>
        <v>4880</v>
      </c>
      <c r="D473">
        <f t="shared" ca="1" si="38"/>
        <v>0</v>
      </c>
      <c r="E473">
        <f t="shared" ca="1" si="39"/>
        <v>0</v>
      </c>
    </row>
    <row r="474" spans="1:5" x14ac:dyDescent="0.25">
      <c r="A474" s="2">
        <f t="shared" ca="1" si="35"/>
        <v>45935</v>
      </c>
      <c r="B474" t="str">
        <f t="shared" ca="1" si="36"/>
        <v>Plastic</v>
      </c>
      <c r="C474">
        <f t="shared" ca="1" si="37"/>
        <v>4410</v>
      </c>
      <c r="D474">
        <f t="shared" ca="1" si="38"/>
        <v>10</v>
      </c>
      <c r="E474">
        <f t="shared" ca="1" si="39"/>
        <v>2205</v>
      </c>
    </row>
    <row r="475" spans="1:5" x14ac:dyDescent="0.25">
      <c r="A475" s="2">
        <f t="shared" ca="1" si="35"/>
        <v>45839</v>
      </c>
      <c r="B475" t="str">
        <f t="shared" ca="1" si="36"/>
        <v>Chemicals</v>
      </c>
      <c r="C475">
        <f t="shared" ca="1" si="37"/>
        <v>1784</v>
      </c>
      <c r="D475">
        <f t="shared" ca="1" si="38"/>
        <v>0</v>
      </c>
      <c r="E475">
        <f t="shared" ca="1" si="39"/>
        <v>0</v>
      </c>
    </row>
    <row r="476" spans="1:5" x14ac:dyDescent="0.25">
      <c r="A476" s="2">
        <f t="shared" ca="1" si="35"/>
        <v>45841</v>
      </c>
      <c r="B476" t="str">
        <f t="shared" ca="1" si="36"/>
        <v>Chemicals</v>
      </c>
      <c r="C476">
        <f t="shared" ca="1" si="37"/>
        <v>1509</v>
      </c>
      <c r="D476">
        <f t="shared" ca="1" si="38"/>
        <v>0</v>
      </c>
      <c r="E476">
        <f t="shared" ca="1" si="39"/>
        <v>0</v>
      </c>
    </row>
    <row r="477" spans="1:5" x14ac:dyDescent="0.25">
      <c r="A477" s="2">
        <f t="shared" ca="1" si="35"/>
        <v>45929</v>
      </c>
      <c r="B477" t="str">
        <f t="shared" ca="1" si="36"/>
        <v>Steel</v>
      </c>
      <c r="C477">
        <f t="shared" ca="1" si="37"/>
        <v>4713</v>
      </c>
      <c r="D477">
        <f t="shared" ca="1" si="38"/>
        <v>0</v>
      </c>
      <c r="E477">
        <f t="shared" ca="1" si="39"/>
        <v>0</v>
      </c>
    </row>
    <row r="478" spans="1:5" x14ac:dyDescent="0.25">
      <c r="A478" s="2">
        <f t="shared" ca="1" si="35"/>
        <v>45860</v>
      </c>
      <c r="B478" t="str">
        <f t="shared" ca="1" si="36"/>
        <v>Packaging</v>
      </c>
      <c r="C478">
        <f t="shared" ca="1" si="37"/>
        <v>1724</v>
      </c>
      <c r="D478">
        <f t="shared" ca="1" si="38"/>
        <v>1</v>
      </c>
      <c r="E478">
        <f t="shared" ca="1" si="39"/>
        <v>86.2</v>
      </c>
    </row>
    <row r="479" spans="1:5" x14ac:dyDescent="0.25">
      <c r="A479" s="2">
        <f t="shared" ca="1" si="35"/>
        <v>45828</v>
      </c>
      <c r="B479" t="str">
        <f t="shared" ca="1" si="36"/>
        <v>Chemicals</v>
      </c>
      <c r="C479">
        <f t="shared" ca="1" si="37"/>
        <v>3453</v>
      </c>
      <c r="D479">
        <f t="shared" ca="1" si="38"/>
        <v>3</v>
      </c>
      <c r="E479">
        <f t="shared" ca="1" si="39"/>
        <v>517.95000000000005</v>
      </c>
    </row>
    <row r="480" spans="1:5" x14ac:dyDescent="0.25">
      <c r="A480" s="2">
        <f t="shared" ca="1" si="35"/>
        <v>45851</v>
      </c>
      <c r="B480" t="str">
        <f t="shared" ca="1" si="36"/>
        <v>Chemicals</v>
      </c>
      <c r="C480">
        <f t="shared" ca="1" si="37"/>
        <v>3123</v>
      </c>
      <c r="D480">
        <f t="shared" ca="1" si="38"/>
        <v>0</v>
      </c>
      <c r="E480">
        <f t="shared" ca="1" si="39"/>
        <v>0</v>
      </c>
    </row>
    <row r="481" spans="1:5" x14ac:dyDescent="0.25">
      <c r="A481" s="2">
        <f t="shared" ca="1" si="35"/>
        <v>45954</v>
      </c>
      <c r="B481" t="str">
        <f t="shared" ca="1" si="36"/>
        <v>Steel</v>
      </c>
      <c r="C481">
        <f t="shared" ca="1" si="37"/>
        <v>3977</v>
      </c>
      <c r="D481">
        <f t="shared" ca="1" si="38"/>
        <v>0</v>
      </c>
      <c r="E481">
        <f t="shared" ca="1" si="39"/>
        <v>0</v>
      </c>
    </row>
    <row r="482" spans="1:5" x14ac:dyDescent="0.25">
      <c r="A482" s="2">
        <f t="shared" ca="1" si="35"/>
        <v>45861</v>
      </c>
      <c r="B482" t="str">
        <f t="shared" ca="1" si="36"/>
        <v>Packaging</v>
      </c>
      <c r="C482">
        <f t="shared" ca="1" si="37"/>
        <v>2211</v>
      </c>
      <c r="D482">
        <f t="shared" ca="1" si="38"/>
        <v>4</v>
      </c>
      <c r="E482">
        <f t="shared" ca="1" si="39"/>
        <v>442.20000000000005</v>
      </c>
    </row>
    <row r="483" spans="1:5" x14ac:dyDescent="0.25">
      <c r="A483" s="2">
        <f t="shared" ca="1" si="35"/>
        <v>45862</v>
      </c>
      <c r="B483" t="str">
        <f t="shared" ca="1" si="36"/>
        <v>Chemicals</v>
      </c>
      <c r="C483">
        <f t="shared" ca="1" si="37"/>
        <v>2336</v>
      </c>
      <c r="D483">
        <f t="shared" ca="1" si="38"/>
        <v>0</v>
      </c>
      <c r="E483">
        <f t="shared" ca="1" si="39"/>
        <v>0</v>
      </c>
    </row>
    <row r="484" spans="1:5" x14ac:dyDescent="0.25">
      <c r="A484" s="2">
        <f t="shared" ca="1" si="35"/>
        <v>45885</v>
      </c>
      <c r="B484" t="str">
        <f t="shared" ca="1" si="36"/>
        <v>Plastic</v>
      </c>
      <c r="C484">
        <f t="shared" ca="1" si="37"/>
        <v>3016</v>
      </c>
      <c r="D484">
        <f t="shared" ca="1" si="38"/>
        <v>0</v>
      </c>
      <c r="E484">
        <f t="shared" ca="1" si="39"/>
        <v>0</v>
      </c>
    </row>
    <row r="485" spans="1:5" x14ac:dyDescent="0.25">
      <c r="A485" s="2">
        <f t="shared" ca="1" si="35"/>
        <v>45856</v>
      </c>
      <c r="B485" t="str">
        <f t="shared" ca="1" si="36"/>
        <v>Chemicals</v>
      </c>
      <c r="C485">
        <f t="shared" ca="1" si="37"/>
        <v>4146</v>
      </c>
      <c r="D485">
        <f t="shared" ca="1" si="38"/>
        <v>0</v>
      </c>
      <c r="E485">
        <f t="shared" ca="1" si="39"/>
        <v>0</v>
      </c>
    </row>
    <row r="486" spans="1:5" x14ac:dyDescent="0.25">
      <c r="A486" s="2">
        <f t="shared" ca="1" si="35"/>
        <v>45894</v>
      </c>
      <c r="B486" t="str">
        <f t="shared" ca="1" si="36"/>
        <v>Chemicals</v>
      </c>
      <c r="C486">
        <f t="shared" ca="1" si="37"/>
        <v>2812</v>
      </c>
      <c r="D486">
        <f t="shared" ca="1" si="38"/>
        <v>0</v>
      </c>
      <c r="E486">
        <f t="shared" ca="1" si="39"/>
        <v>0</v>
      </c>
    </row>
    <row r="487" spans="1:5" x14ac:dyDescent="0.25">
      <c r="A487" s="2">
        <f t="shared" ca="1" si="35"/>
        <v>45908</v>
      </c>
      <c r="B487" t="str">
        <f t="shared" ca="1" si="36"/>
        <v>Chemicals</v>
      </c>
      <c r="C487">
        <f t="shared" ca="1" si="37"/>
        <v>4453</v>
      </c>
      <c r="D487">
        <f t="shared" ca="1" si="38"/>
        <v>0</v>
      </c>
      <c r="E487">
        <f t="shared" ca="1" si="39"/>
        <v>0</v>
      </c>
    </row>
    <row r="488" spans="1:5" x14ac:dyDescent="0.25">
      <c r="A488" s="2">
        <f t="shared" ca="1" si="35"/>
        <v>45813</v>
      </c>
      <c r="B488" t="str">
        <f t="shared" ca="1" si="36"/>
        <v>Chemicals</v>
      </c>
      <c r="C488">
        <f t="shared" ca="1" si="37"/>
        <v>4447</v>
      </c>
      <c r="D488">
        <f t="shared" ca="1" si="38"/>
        <v>0</v>
      </c>
      <c r="E488">
        <f t="shared" ca="1" si="39"/>
        <v>0</v>
      </c>
    </row>
    <row r="489" spans="1:5" x14ac:dyDescent="0.25">
      <c r="A489" s="2">
        <f t="shared" ca="1" si="35"/>
        <v>45825</v>
      </c>
      <c r="B489" t="str">
        <f t="shared" ca="1" si="36"/>
        <v>Packaging</v>
      </c>
      <c r="C489">
        <f t="shared" ca="1" si="37"/>
        <v>3288</v>
      </c>
      <c r="D489">
        <f t="shared" ca="1" si="38"/>
        <v>0</v>
      </c>
      <c r="E489">
        <f t="shared" ca="1" si="39"/>
        <v>0</v>
      </c>
    </row>
    <row r="490" spans="1:5" x14ac:dyDescent="0.25">
      <c r="A490" s="2">
        <f t="shared" ca="1" si="35"/>
        <v>45840</v>
      </c>
      <c r="B490" t="str">
        <f t="shared" ca="1" si="36"/>
        <v>Plastic</v>
      </c>
      <c r="C490">
        <f t="shared" ca="1" si="37"/>
        <v>4949</v>
      </c>
      <c r="D490">
        <f t="shared" ca="1" si="38"/>
        <v>2</v>
      </c>
      <c r="E490">
        <f t="shared" ca="1" si="39"/>
        <v>494.90000000000003</v>
      </c>
    </row>
    <row r="491" spans="1:5" x14ac:dyDescent="0.25">
      <c r="A491" s="2">
        <f t="shared" ca="1" si="35"/>
        <v>45856</v>
      </c>
      <c r="B491" t="str">
        <f t="shared" ca="1" si="36"/>
        <v>Plastic</v>
      </c>
      <c r="C491">
        <f t="shared" ca="1" si="37"/>
        <v>3524</v>
      </c>
      <c r="D491">
        <f t="shared" ca="1" si="38"/>
        <v>0</v>
      </c>
      <c r="E491">
        <f t="shared" ca="1" si="39"/>
        <v>0</v>
      </c>
    </row>
    <row r="492" spans="1:5" x14ac:dyDescent="0.25">
      <c r="A492" s="2">
        <f t="shared" ca="1" si="35"/>
        <v>45804</v>
      </c>
      <c r="B492" t="str">
        <f t="shared" ca="1" si="36"/>
        <v>Steel</v>
      </c>
      <c r="C492">
        <f t="shared" ca="1" si="37"/>
        <v>4214</v>
      </c>
      <c r="D492">
        <f t="shared" ca="1" si="38"/>
        <v>0</v>
      </c>
      <c r="E492">
        <f t="shared" ca="1" si="39"/>
        <v>0</v>
      </c>
    </row>
    <row r="493" spans="1:5" x14ac:dyDescent="0.25">
      <c r="A493" s="2">
        <f t="shared" ca="1" si="35"/>
        <v>45921</v>
      </c>
      <c r="B493" t="str">
        <f t="shared" ca="1" si="36"/>
        <v>Steel</v>
      </c>
      <c r="C493">
        <f t="shared" ca="1" si="37"/>
        <v>3556</v>
      </c>
      <c r="D493">
        <f t="shared" ca="1" si="38"/>
        <v>0</v>
      </c>
      <c r="E493">
        <f t="shared" ca="1" si="39"/>
        <v>0</v>
      </c>
    </row>
    <row r="494" spans="1:5" x14ac:dyDescent="0.25">
      <c r="A494" s="2">
        <f t="shared" ca="1" si="35"/>
        <v>45866</v>
      </c>
      <c r="B494" t="str">
        <f t="shared" ca="1" si="36"/>
        <v>Plastic</v>
      </c>
      <c r="C494">
        <f t="shared" ca="1" si="37"/>
        <v>2606</v>
      </c>
      <c r="D494">
        <f t="shared" ca="1" si="38"/>
        <v>0</v>
      </c>
      <c r="E494">
        <f t="shared" ca="1" si="39"/>
        <v>0</v>
      </c>
    </row>
    <row r="495" spans="1:5" x14ac:dyDescent="0.25">
      <c r="A495" s="2">
        <f t="shared" ca="1" si="35"/>
        <v>45916</v>
      </c>
      <c r="B495" t="str">
        <f t="shared" ca="1" si="36"/>
        <v>Chemicals</v>
      </c>
      <c r="C495">
        <f t="shared" ca="1" si="37"/>
        <v>1613</v>
      </c>
      <c r="D495">
        <f t="shared" ca="1" si="38"/>
        <v>0</v>
      </c>
      <c r="E495">
        <f t="shared" ca="1" si="39"/>
        <v>0</v>
      </c>
    </row>
    <row r="496" spans="1:5" x14ac:dyDescent="0.25">
      <c r="A496" s="2">
        <f t="shared" ca="1" si="35"/>
        <v>45913</v>
      </c>
      <c r="B496" t="str">
        <f t="shared" ca="1" si="36"/>
        <v>Plastic</v>
      </c>
      <c r="C496">
        <f t="shared" ca="1" si="37"/>
        <v>2349</v>
      </c>
      <c r="D496">
        <f t="shared" ca="1" si="38"/>
        <v>0</v>
      </c>
      <c r="E496">
        <f t="shared" ca="1" si="39"/>
        <v>0</v>
      </c>
    </row>
    <row r="497" spans="1:13" x14ac:dyDescent="0.25">
      <c r="A497" s="2">
        <f t="shared" ca="1" si="35"/>
        <v>45863</v>
      </c>
      <c r="B497" t="str">
        <f t="shared" ca="1" si="36"/>
        <v>Chemicals</v>
      </c>
      <c r="C497">
        <f t="shared" ca="1" si="37"/>
        <v>3280</v>
      </c>
      <c r="D497">
        <f t="shared" ca="1" si="38"/>
        <v>0</v>
      </c>
      <c r="E497">
        <f t="shared" ca="1" si="39"/>
        <v>0</v>
      </c>
    </row>
    <row r="498" spans="1:13" x14ac:dyDescent="0.25">
      <c r="A498" s="2">
        <f t="shared" ca="1" si="35"/>
        <v>45856</v>
      </c>
      <c r="B498" t="str">
        <f t="shared" ca="1" si="36"/>
        <v>Plastic</v>
      </c>
      <c r="C498">
        <f t="shared" ca="1" si="37"/>
        <v>2636</v>
      </c>
      <c r="D498">
        <f t="shared" ca="1" si="38"/>
        <v>0</v>
      </c>
      <c r="E498">
        <f t="shared" ca="1" si="39"/>
        <v>0</v>
      </c>
    </row>
    <row r="499" spans="1:13" x14ac:dyDescent="0.25">
      <c r="A499" s="2">
        <f t="shared" ca="1" si="35"/>
        <v>45917</v>
      </c>
      <c r="B499" t="str">
        <f t="shared" ca="1" si="36"/>
        <v>Plastic</v>
      </c>
      <c r="C499">
        <f t="shared" ca="1" si="37"/>
        <v>1713</v>
      </c>
      <c r="D499">
        <f t="shared" ca="1" si="38"/>
        <v>1</v>
      </c>
      <c r="E499">
        <f t="shared" ca="1" si="39"/>
        <v>85.65</v>
      </c>
      <c r="L499" s="22"/>
      <c r="M499" s="5"/>
    </row>
    <row r="500" spans="1:13" x14ac:dyDescent="0.25">
      <c r="A500" s="2">
        <v>45962</v>
      </c>
      <c r="B500" t="str">
        <f t="shared" ca="1" si="36"/>
        <v>Plastic</v>
      </c>
      <c r="C500">
        <v>0</v>
      </c>
      <c r="D500">
        <f t="shared" ca="1" si="38"/>
        <v>0</v>
      </c>
      <c r="E500">
        <f t="shared" ca="1" si="39"/>
        <v>0</v>
      </c>
      <c r="L500" s="22"/>
      <c r="M500" s="5"/>
    </row>
    <row r="501" spans="1:13" x14ac:dyDescent="0.25">
      <c r="A501" s="2">
        <v>45992</v>
      </c>
      <c r="B501" t="str">
        <f t="shared" ca="1" si="36"/>
        <v>Chemicals</v>
      </c>
      <c r="C501">
        <v>0</v>
      </c>
      <c r="D501">
        <f t="shared" ca="1" si="38"/>
        <v>10</v>
      </c>
      <c r="E501">
        <f t="shared" ref="E501:E502" ca="1" si="40">IF(D501&gt;0,D501*C501*0.05, 0)</f>
        <v>0</v>
      </c>
      <c r="L501" s="22"/>
      <c r="M501" s="5"/>
    </row>
    <row r="502" spans="1:13" x14ac:dyDescent="0.25">
      <c r="A502" s="2">
        <v>46023</v>
      </c>
      <c r="B502" t="str">
        <f t="shared" ca="1" si="36"/>
        <v>Chemicals</v>
      </c>
      <c r="C502">
        <v>0</v>
      </c>
      <c r="D502">
        <f t="shared" ca="1" si="38"/>
        <v>6</v>
      </c>
      <c r="E502">
        <f t="shared" ca="1" si="40"/>
        <v>0</v>
      </c>
    </row>
    <row r="503" spans="1:13" x14ac:dyDescent="0.25">
      <c r="A503" s="2">
        <f t="shared" ref="A503:A505" ca="1" si="41">TODAY()-RANDBETWEEN(1,180)</f>
        <v>45784</v>
      </c>
      <c r="B503" t="str">
        <f t="shared" ref="B503:B505" ca="1" si="42">CHOOSE(RANDBETWEEN(1,4),"Steel","Plastic","Chemicals","Packaging")</f>
        <v>Plastic</v>
      </c>
      <c r="C503">
        <f t="shared" ref="C503:C505" ca="1" si="43">ROUND(RANDBETWEEN(1000,5000), 0)</f>
        <v>2155</v>
      </c>
      <c r="D503">
        <f t="shared" ref="D503:D505" ca="1" si="44">ROUND(CHOOSE(RANDBETWEEN(1,3), 0, 0, RANDBETWEEN(1,10)),0)</f>
        <v>0</v>
      </c>
      <c r="E503">
        <f t="shared" ref="E503:E505" ca="1" si="45">IF(D503&gt;0,D503*C503*0.05, 0)</f>
        <v>0</v>
      </c>
    </row>
    <row r="504" spans="1:13" x14ac:dyDescent="0.25">
      <c r="A504" s="2">
        <f t="shared" ca="1" si="41"/>
        <v>45824</v>
      </c>
      <c r="B504" t="str">
        <f t="shared" ca="1" si="42"/>
        <v>Steel</v>
      </c>
      <c r="C504">
        <f t="shared" ca="1" si="43"/>
        <v>1267</v>
      </c>
      <c r="D504">
        <f t="shared" ca="1" si="44"/>
        <v>0</v>
      </c>
      <c r="E504">
        <f t="shared" ca="1" si="45"/>
        <v>0</v>
      </c>
    </row>
    <row r="505" spans="1:13" x14ac:dyDescent="0.25">
      <c r="A505" s="2">
        <f t="shared" ca="1" si="41"/>
        <v>45959</v>
      </c>
      <c r="B505" t="str">
        <f t="shared" ca="1" si="42"/>
        <v>Packaging</v>
      </c>
      <c r="C505">
        <f t="shared" ca="1" si="43"/>
        <v>2192</v>
      </c>
      <c r="D505">
        <f t="shared" ca="1" si="44"/>
        <v>2</v>
      </c>
      <c r="E505">
        <f t="shared" ca="1" si="45"/>
        <v>219.20000000000002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vt:lpstr>
      <vt:lpstr>Analysis</vt:lpstr>
      <vt:lpstr>RawData</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GreatLove</dc:creator>
  <cp:lastModifiedBy>GreatLove</cp:lastModifiedBy>
  <dcterms:created xsi:type="dcterms:W3CDTF">2025-11-02T13:19:04Z</dcterms:created>
  <dcterms:modified xsi:type="dcterms:W3CDTF">2025-11-03T12:55:14Z</dcterms:modified>
</cp:coreProperties>
</file>